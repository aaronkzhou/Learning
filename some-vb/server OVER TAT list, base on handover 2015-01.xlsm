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60" windowWidth="19440" windowHeight="9075" activeTab="4"/>
  </bookViews>
  <sheets>
    <sheet name="F_TAT_chart-2015-week 01" sheetId="5" r:id="rId1"/>
    <sheet name="P_TAT_chart-2015-week 01" sheetId="6" r:id="rId2"/>
    <sheet name="Sheet1" sheetId="7" r:id="rId3"/>
    <sheet name="Sheet2" sheetId="8" r:id="rId4"/>
    <sheet name="summary-week 01-2015" sheetId="2" r:id="rId5"/>
    <sheet name="Sheet3" sheetId="9" r:id="rId6"/>
    <sheet name="Rule" sheetId="4" r:id="rId7"/>
  </sheets>
  <definedNames>
    <definedName name="_xlnm._FilterDatabase" localSheetId="4" hidden="1">'summary-week 01-2015'!$A$1:$AC$1</definedName>
  </definedNames>
  <calcPr calcId="152511"/>
  <pivotCaches>
    <pivotCache cacheId="0" r:id="rId8"/>
    <pivotCache cacheId="1" r:id="rId9"/>
  </pivotCaches>
</workbook>
</file>

<file path=xl/calcChain.xml><?xml version="1.0" encoding="utf-8"?>
<calcChain xmlns="http://schemas.openxmlformats.org/spreadsheetml/2006/main">
  <c r="P2" i="2" l="1"/>
  <c r="D8" i="8" l="1"/>
  <c r="D7" i="8"/>
  <c r="C8" i="8"/>
  <c r="E8" i="8" s="1"/>
  <c r="C7" i="8"/>
  <c r="E7" i="8" s="1"/>
  <c r="E4" i="8"/>
  <c r="E5" i="8"/>
  <c r="E6" i="8"/>
  <c r="E3" i="8"/>
  <c r="B4" i="6" l="1"/>
  <c r="C23" i="6" s="1"/>
  <c r="B4" i="5"/>
  <c r="C23" i="5" s="1"/>
  <c r="C4" i="6" l="1"/>
  <c r="C12" i="6"/>
  <c r="C8" i="6"/>
  <c r="C6" i="6"/>
  <c r="C10" i="6"/>
  <c r="C14" i="6"/>
  <c r="C18" i="6"/>
  <c r="C22" i="6"/>
  <c r="C16" i="6"/>
  <c r="C20" i="6"/>
  <c r="C24" i="6"/>
  <c r="C8" i="5"/>
  <c r="C4" i="5"/>
  <c r="C20" i="5"/>
  <c r="C10" i="5"/>
  <c r="C16" i="5"/>
  <c r="C5" i="5"/>
  <c r="C9" i="5"/>
  <c r="C12" i="5"/>
  <c r="C18" i="5"/>
  <c r="C22" i="5"/>
  <c r="C24" i="5"/>
  <c r="C5" i="6"/>
  <c r="C7" i="6"/>
  <c r="C9" i="6"/>
  <c r="C11" i="6"/>
  <c r="C13" i="6"/>
  <c r="C15" i="6"/>
  <c r="C17" i="6"/>
  <c r="C19" i="6"/>
  <c r="C21" i="6"/>
  <c r="C7" i="5"/>
  <c r="C6" i="5"/>
  <c r="C11" i="5"/>
  <c r="C14" i="5"/>
  <c r="C15" i="5"/>
  <c r="C13" i="5"/>
  <c r="C17" i="5"/>
  <c r="C19" i="5"/>
  <c r="C21" i="5"/>
</calcChain>
</file>

<file path=xl/sharedStrings.xml><?xml version="1.0" encoding="utf-8"?>
<sst xmlns="http://schemas.openxmlformats.org/spreadsheetml/2006/main" count="1857" uniqueCount="606">
  <si>
    <t>Product Family</t>
  </si>
  <si>
    <t>SO#</t>
  </si>
  <si>
    <t>PLO#</t>
  </si>
  <si>
    <t>Part#</t>
  </si>
  <si>
    <t>Part Desc</t>
  </si>
  <si>
    <t>Qty</t>
  </si>
  <si>
    <t>Shipref</t>
  </si>
  <si>
    <t>RTP Date</t>
  </si>
  <si>
    <t>Date To Ship</t>
  </si>
  <si>
    <t>Build Start Date</t>
  </si>
  <si>
    <t>Handover Time</t>
  </si>
  <si>
    <t>TSG_MLDL_PF</t>
  </si>
  <si>
    <t>Material Arrival Time</t>
  </si>
  <si>
    <t>P_TAT</t>
  </si>
  <si>
    <t>F_TAT</t>
  </si>
  <si>
    <t>Flag</t>
  </si>
  <si>
    <t>Category</t>
    <phoneticPr fontId="0" type="noConversion"/>
  </si>
  <si>
    <t>Factor</t>
    <phoneticPr fontId="0" type="noConversion"/>
  </si>
  <si>
    <t>Owner</t>
    <phoneticPr fontId="0" type="noConversion"/>
  </si>
  <si>
    <t>Detial</t>
    <phoneticPr fontId="0" type="noConversion"/>
  </si>
  <si>
    <t>Category</t>
  </si>
  <si>
    <t>Factor</t>
  </si>
  <si>
    <t>Owner</t>
  </si>
  <si>
    <t>Remark (sample)</t>
  </si>
  <si>
    <t>SAP</t>
  </si>
  <si>
    <t>PE</t>
  </si>
  <si>
    <t>Order not flowing to SFNG</t>
  </si>
  <si>
    <t>SFNG</t>
  </si>
  <si>
    <t>TE</t>
  </si>
  <si>
    <t>Order Frozen before RTP/Shop floor down from 1/6~4/6/Warranty Card</t>
  </si>
  <si>
    <t>Capacity</t>
  </si>
  <si>
    <t>BL: input 2000 at 6/3</t>
  </si>
  <si>
    <t>Material Issue</t>
  </si>
  <si>
    <t>Delievery</t>
  </si>
  <si>
    <t>WH</t>
  </si>
  <si>
    <t>Material received at 12:00A.M 6/4, ETA: 6/2 12:00 P.M</t>
  </si>
  <si>
    <t>Shortage</t>
  </si>
  <si>
    <t>PN: ETA:6/6</t>
  </si>
  <si>
    <t>Hold from 6/4, Purge at 6/8</t>
  </si>
  <si>
    <t>Incoming</t>
  </si>
  <si>
    <t>Incoming Material Issue PN:, WH re-issue or ETA:6/12</t>
  </si>
  <si>
    <t>Production Issue</t>
  </si>
  <si>
    <t>Operator</t>
  </si>
  <si>
    <t>Line</t>
  </si>
  <si>
    <t>Delay to print Picklist/FIFO</t>
  </si>
  <si>
    <t>Rework</t>
  </si>
  <si>
    <t>Repaired Twice in Pre-test/ Forth in Run-in for load test/ETA:</t>
  </si>
  <si>
    <t>Setting</t>
  </si>
  <si>
    <t>Setting Error in SFNG/Printing Setting Issue</t>
  </si>
  <si>
    <t>Diags</t>
  </si>
  <si>
    <t>Diags updated by 6/10, from 6/5</t>
  </si>
  <si>
    <t>WI/Spec</t>
  </si>
  <si>
    <t>WI delay to release to FE2 for 2 days</t>
  </si>
  <si>
    <t>UUT arrived FE2 with function defect</t>
  </si>
  <si>
    <t>Batch building delay/FIFO</t>
  </si>
  <si>
    <t>Release Hold</t>
  </si>
  <si>
    <t>Hold delay releasing 2days</t>
  </si>
  <si>
    <t>Special downtime</t>
  </si>
  <si>
    <t>WeekEnd</t>
  </si>
  <si>
    <t>Others</t>
  </si>
  <si>
    <t>6/3 Week End</t>
  </si>
  <si>
    <t>Holiday</t>
  </si>
  <si>
    <t>Labor's Day</t>
  </si>
  <si>
    <t>Reason_F</t>
  </si>
  <si>
    <t>Reason_P</t>
  </si>
  <si>
    <t>PGI Issue</t>
  </si>
  <si>
    <t>OBA ISSUE</t>
  </si>
  <si>
    <t>MI issue</t>
  </si>
  <si>
    <t>Shipped Order QTY_Over F_TAT</t>
  </si>
  <si>
    <t>Order QTY_Over F_TAT</t>
  </si>
  <si>
    <t>PGI ISSUE</t>
  </si>
  <si>
    <t>MI ISSUE</t>
  </si>
  <si>
    <t>Order QTY_Over-P only</t>
  </si>
  <si>
    <t>Order QTY_Over-F&amp;P</t>
  </si>
  <si>
    <t>Order QTY_Over P_TAT</t>
  </si>
  <si>
    <t>others</t>
  </si>
  <si>
    <t>Purge/Hold/ECO/control build</t>
  </si>
  <si>
    <t>PGI Time</t>
  </si>
  <si>
    <t>PE</t>
    <phoneticPr fontId="3" type="noConversion"/>
  </si>
  <si>
    <t>Line</t>
    <phoneticPr fontId="3" type="noConversion"/>
  </si>
  <si>
    <t>行标签</t>
  </si>
  <si>
    <t>总计</t>
  </si>
  <si>
    <t>(多项)</t>
  </si>
  <si>
    <t>Duration</t>
    <phoneticPr fontId="3" type="noConversion"/>
  </si>
  <si>
    <t>SFNG</t>
    <phoneticPr fontId="3" type="noConversion"/>
  </si>
  <si>
    <t>TE</t>
    <phoneticPr fontId="3" type="noConversion"/>
  </si>
  <si>
    <t>Shipped Date</t>
    <phoneticPr fontId="3" type="noConversion"/>
  </si>
  <si>
    <t>Setting</t>
    <phoneticPr fontId="3" type="noConversion"/>
  </si>
  <si>
    <t>PE</t>
    <phoneticPr fontId="3" type="noConversion"/>
  </si>
  <si>
    <t>System Issue</t>
    <phoneticPr fontId="3" type="noConversion"/>
  </si>
  <si>
    <t>Power malfunction/ typhoon or climate issue</t>
    <phoneticPr fontId="3" type="noConversion"/>
  </si>
  <si>
    <t>Capacity</t>
    <phoneticPr fontId="3" type="noConversion"/>
  </si>
  <si>
    <t>Order Management</t>
    <phoneticPr fontId="3" type="noConversion"/>
  </si>
  <si>
    <t>Planner</t>
    <phoneticPr fontId="3" type="noConversion"/>
  </si>
  <si>
    <t>Buyer</t>
    <phoneticPr fontId="3" type="noConversion"/>
  </si>
  <si>
    <t>求和项:Qty2</t>
  </si>
  <si>
    <t>WI/Spec</t>
    <phoneticPr fontId="3" type="noConversion"/>
  </si>
  <si>
    <t>Rework</t>
    <phoneticPr fontId="3" type="noConversion"/>
  </si>
  <si>
    <t>Holiday</t>
    <phoneticPr fontId="3" type="noConversion"/>
  </si>
  <si>
    <t>Others</t>
    <phoneticPr fontId="0" type="noConversion"/>
  </si>
  <si>
    <t>Incoming</t>
    <phoneticPr fontId="3" type="noConversion"/>
  </si>
  <si>
    <t>Special</t>
    <phoneticPr fontId="3" type="noConversion"/>
  </si>
  <si>
    <t>Others</t>
    <phoneticPr fontId="3" type="noConversion"/>
  </si>
  <si>
    <t>Special downtime</t>
    <phoneticPr fontId="3" type="noConversion"/>
  </si>
  <si>
    <t xml:space="preserve">Purge/Hold/ECO/control build
</t>
    <phoneticPr fontId="3" type="noConversion"/>
  </si>
  <si>
    <t>Material Issue</t>
    <phoneticPr fontId="3" type="noConversion"/>
  </si>
  <si>
    <t>FE2 Issue</t>
    <phoneticPr fontId="3" type="noConversion"/>
  </si>
  <si>
    <t>Production Issue</t>
    <phoneticPr fontId="3" type="noConversion"/>
  </si>
  <si>
    <t>Goal: 80%</t>
    <phoneticPr fontId="5" type="noConversion"/>
  </si>
  <si>
    <t>Special</t>
    <phoneticPr fontId="4" type="noConversion"/>
  </si>
  <si>
    <t>Total ship order QTY of week 01'15</t>
    <phoneticPr fontId="3" type="noConversion"/>
  </si>
  <si>
    <t>Goal: 90%</t>
  </si>
  <si>
    <t>Diags</t>
    <phoneticPr fontId="3" type="noConversion"/>
  </si>
  <si>
    <t xml:space="preserve">Not including BTS--&gt;BTO order
 WK01 ranges from 1/4/2015 00:00 to 1/10/2015 24:00, basing on shipped time
</t>
    <phoneticPr fontId="3" type="noConversion"/>
  </si>
  <si>
    <t>IF FE2</t>
  </si>
  <si>
    <t>IF GROUP ORDER</t>
  </si>
  <si>
    <t>N</t>
  </si>
  <si>
    <t>Y</t>
  </si>
  <si>
    <t>Row Labels</t>
  </si>
  <si>
    <t>F only</t>
  </si>
  <si>
    <t>F&amp;P</t>
  </si>
  <si>
    <t>Ignore</t>
  </si>
  <si>
    <t>P only</t>
  </si>
  <si>
    <t>Grand Total</t>
  </si>
  <si>
    <t>Count of PLO#</t>
  </si>
  <si>
    <t>Tool</t>
  </si>
  <si>
    <t>Mannual</t>
  </si>
  <si>
    <t>Gap</t>
  </si>
  <si>
    <t>Reason</t>
  </si>
  <si>
    <t>M1</t>
  </si>
  <si>
    <t>M2</t>
  </si>
  <si>
    <t>两单手工算为F&amp;P，不影响结果，为weekend计算差异</t>
  </si>
  <si>
    <t>新增全部为手工算为F_Only,为Weekend计算差异, weekend 1/12</t>
  </si>
  <si>
    <t>新增为手工计算为F_Only, 为Weekend计算差异，weekend 1/18</t>
  </si>
  <si>
    <t>P_TAT MR</t>
  </si>
  <si>
    <t>F_TAT MR</t>
  </si>
  <si>
    <t>WK03</t>
  </si>
  <si>
    <t>PLO</t>
  </si>
  <si>
    <t>if FE2</t>
  </si>
  <si>
    <t>last WO</t>
  </si>
  <si>
    <t>C374707</t>
  </si>
  <si>
    <t>C3A276B</t>
  </si>
  <si>
    <t>C36659C</t>
  </si>
  <si>
    <t>C3746C4</t>
  </si>
  <si>
    <t>C39AC31</t>
  </si>
  <si>
    <t>C3665A7</t>
  </si>
  <si>
    <t>C39A2BB</t>
  </si>
  <si>
    <t>C3746C7</t>
  </si>
  <si>
    <t>C387414</t>
  </si>
  <si>
    <t>C398894</t>
  </si>
  <si>
    <t>C374743</t>
  </si>
  <si>
    <t>C3845B3</t>
  </si>
  <si>
    <t>C3959C7</t>
  </si>
  <si>
    <t>C3746CB</t>
  </si>
  <si>
    <t>C37A3A4</t>
  </si>
  <si>
    <t>C38C641</t>
  </si>
  <si>
    <t>C374640</t>
  </si>
  <si>
    <t>C3746C0</t>
  </si>
  <si>
    <t>C388A46</t>
  </si>
  <si>
    <t>C374642</t>
  </si>
  <si>
    <t>C3746C6</t>
  </si>
  <si>
    <t>C387B3C</t>
  </si>
  <si>
    <t>C374645</t>
  </si>
  <si>
    <t>C387B41</t>
  </si>
  <si>
    <t>C374703</t>
  </si>
  <si>
    <t>C3690A7</t>
  </si>
  <si>
    <t>C388154</t>
  </si>
  <si>
    <t>C374766</t>
  </si>
  <si>
    <t>C323010</t>
  </si>
  <si>
    <t>C387501</t>
  </si>
  <si>
    <t>C374718</t>
  </si>
  <si>
    <t>C387507</t>
  </si>
  <si>
    <t>C361075</t>
  </si>
  <si>
    <t>C387427</t>
  </si>
  <si>
    <t>C361044</t>
  </si>
  <si>
    <t>C37472A</t>
  </si>
  <si>
    <t>C387411</t>
  </si>
  <si>
    <t>C3746CA</t>
  </si>
  <si>
    <t>C3A51A0</t>
  </si>
  <si>
    <t>C387331</t>
  </si>
  <si>
    <t>C374664</t>
  </si>
  <si>
    <t>C3A5199</t>
  </si>
  <si>
    <t>C3A5194</t>
  </si>
  <si>
    <t>C374665</t>
  </si>
  <si>
    <t>C384464</t>
  </si>
  <si>
    <t>C3A5156</t>
  </si>
  <si>
    <t>C36C33C</t>
  </si>
  <si>
    <t>C384594</t>
  </si>
  <si>
    <t>C3A5128</t>
  </si>
  <si>
    <t>C36973C</t>
  </si>
  <si>
    <t>C3844B7</t>
  </si>
  <si>
    <t>C3A5161</t>
  </si>
  <si>
    <t>C369746</t>
  </si>
  <si>
    <t>C384483</t>
  </si>
  <si>
    <t>C3A5094</t>
  </si>
  <si>
    <t>C369158</t>
  </si>
  <si>
    <t>C380374</t>
  </si>
  <si>
    <t>C3959A4</t>
  </si>
  <si>
    <t>C368C6A</t>
  </si>
  <si>
    <t>C380347</t>
  </si>
  <si>
    <t>C370681</t>
  </si>
  <si>
    <t>C368C71</t>
  </si>
  <si>
    <t>C377C62</t>
  </si>
  <si>
    <t>C368C64</t>
  </si>
  <si>
    <t>C374A25</t>
  </si>
  <si>
    <t>C3706BB</t>
  </si>
  <si>
    <t>C368C67</t>
  </si>
  <si>
    <t>C3749C5</t>
  </si>
  <si>
    <t>C36B6A9</t>
  </si>
  <si>
    <t>C374A2A</t>
  </si>
  <si>
    <t>C3A51A4</t>
  </si>
  <si>
    <t>C3670A9</t>
  </si>
  <si>
    <t>C374A27</t>
  </si>
  <si>
    <t>C365B05</t>
  </si>
  <si>
    <t>C367054</t>
  </si>
  <si>
    <t>C374A37</t>
  </si>
  <si>
    <t>C365C33</t>
  </si>
  <si>
    <t>C367022</t>
  </si>
  <si>
    <t>C3749C3</t>
  </si>
  <si>
    <t>C362092</t>
  </si>
  <si>
    <t>C3665B7</t>
  </si>
  <si>
    <t>C37498B</t>
  </si>
  <si>
    <t>C354875</t>
  </si>
  <si>
    <t>C374988</t>
  </si>
  <si>
    <t>C366CCB</t>
  </si>
  <si>
    <t>C354872</t>
  </si>
  <si>
    <t>C374979</t>
  </si>
  <si>
    <t>C365AAB</t>
  </si>
  <si>
    <t>C354878</t>
  </si>
  <si>
    <t>C374931</t>
  </si>
  <si>
    <t>C354873</t>
  </si>
  <si>
    <t>C3611CC</t>
  </si>
  <si>
    <t>C374610</t>
  </si>
  <si>
    <t>C353257</t>
  </si>
  <si>
    <t>C35C66C</t>
  </si>
  <si>
    <t>C374600</t>
  </si>
  <si>
    <t>C351314</t>
  </si>
  <si>
    <t>C35C627</t>
  </si>
  <si>
    <t>C3745CC</t>
  </si>
  <si>
    <t>C355037</t>
  </si>
  <si>
    <t>C334509</t>
  </si>
  <si>
    <t>C374573</t>
  </si>
  <si>
    <t>C34A787</t>
  </si>
  <si>
    <t>C37352C</t>
  </si>
  <si>
    <t>C333CC7</t>
  </si>
  <si>
    <t>C34A733</t>
  </si>
  <si>
    <t>C373203</t>
  </si>
  <si>
    <t>C2CC869</t>
  </si>
  <si>
    <t>C36B653</t>
  </si>
  <si>
    <t>C34A741</t>
  </si>
  <si>
    <t>C2CC80C</t>
  </si>
  <si>
    <t>C36B654</t>
  </si>
  <si>
    <t>C34A71C</t>
  </si>
  <si>
    <t>C370294</t>
  </si>
  <si>
    <t>C36B656</t>
  </si>
  <si>
    <t>C34A568</t>
  </si>
  <si>
    <t>C374617</t>
  </si>
  <si>
    <t>C36B655</t>
  </si>
  <si>
    <t>C34A590</t>
  </si>
  <si>
    <t>C36B657</t>
  </si>
  <si>
    <t>C34A571</t>
  </si>
  <si>
    <t>C36B668</t>
  </si>
  <si>
    <t>C345007</t>
  </si>
  <si>
    <t>C36B663</t>
  </si>
  <si>
    <t>C345001</t>
  </si>
  <si>
    <t>C36B624</t>
  </si>
  <si>
    <t>C3450CB</t>
  </si>
  <si>
    <t>C36B769</t>
  </si>
  <si>
    <t>C344CC5</t>
  </si>
  <si>
    <t>C36C282</t>
  </si>
  <si>
    <t>C345101</t>
  </si>
  <si>
    <t>C36B5B8</t>
  </si>
  <si>
    <t>C387AAC</t>
  </si>
  <si>
    <t>C368C9C</t>
  </si>
  <si>
    <t>C387758</t>
  </si>
  <si>
    <t>C368C65</t>
  </si>
  <si>
    <t>C387419</t>
  </si>
  <si>
    <t>C368C05</t>
  </si>
  <si>
    <t>C36C24A</t>
  </si>
  <si>
    <t>C366773</t>
  </si>
  <si>
    <t>C387485</t>
  </si>
  <si>
    <t>C362178</t>
  </si>
  <si>
    <t>C374990</t>
  </si>
  <si>
    <t>C362171</t>
  </si>
  <si>
    <t>C39AC35</t>
  </si>
  <si>
    <t>C362169</t>
  </si>
  <si>
    <t>C37492B</t>
  </si>
  <si>
    <t>C362175</t>
  </si>
  <si>
    <t>C37481C</t>
  </si>
  <si>
    <t>C362088</t>
  </si>
  <si>
    <t>C361608</t>
  </si>
  <si>
    <t>C3747BB</t>
  </si>
  <si>
    <t>C36C242</t>
  </si>
  <si>
    <t>C36100A</t>
  </si>
  <si>
    <t>C387757</t>
  </si>
  <si>
    <t>C358944</t>
  </si>
  <si>
    <t>C387ACA</t>
  </si>
  <si>
    <t>C35897A</t>
  </si>
  <si>
    <t>C387492</t>
  </si>
  <si>
    <t>C35718C</t>
  </si>
  <si>
    <t>C354920</t>
  </si>
  <si>
    <t>C368CB9</t>
  </si>
  <si>
    <t>C377C1C</t>
  </si>
  <si>
    <t>C354931</t>
  </si>
  <si>
    <t>C38770C</t>
  </si>
  <si>
    <t>C354928</t>
  </si>
  <si>
    <t>C354939</t>
  </si>
  <si>
    <t>C380202</t>
  </si>
  <si>
    <t>C354881</t>
  </si>
  <si>
    <t>C3548C6</t>
  </si>
  <si>
    <t>C35488A</t>
  </si>
  <si>
    <t>C3548C9</t>
  </si>
  <si>
    <t>C3525B8</t>
  </si>
  <si>
    <t>C3548B9</t>
  </si>
  <si>
    <t>C352441</t>
  </si>
  <si>
    <t>C35489C</t>
  </si>
  <si>
    <t>C35135A</t>
  </si>
  <si>
    <t>C3A72A7</t>
  </si>
  <si>
    <t>C3502C6</t>
  </si>
  <si>
    <t>C3B1497</t>
  </si>
  <si>
    <t>C364787</t>
  </si>
  <si>
    <t>C3B1202</t>
  </si>
  <si>
    <t>C3502B5</t>
  </si>
  <si>
    <t>C3B11C8</t>
  </si>
  <si>
    <t>C3502B1</t>
  </si>
  <si>
    <t>C3B147B</t>
  </si>
  <si>
    <t>C350236</t>
  </si>
  <si>
    <t>C350240</t>
  </si>
  <si>
    <t>C3B14A8</t>
  </si>
  <si>
    <t>C34693A</t>
  </si>
  <si>
    <t>C3B1212</t>
  </si>
  <si>
    <t>C3570B0</t>
  </si>
  <si>
    <t>C3B11CB</t>
  </si>
  <si>
    <t>C344C94</t>
  </si>
  <si>
    <t>C391C94</t>
  </si>
  <si>
    <t>C345061</t>
  </si>
  <si>
    <t>C3873C2</t>
  </si>
  <si>
    <t>C345110</t>
  </si>
  <si>
    <t>C3845B0</t>
  </si>
  <si>
    <t>C345143</t>
  </si>
  <si>
    <t>C384557</t>
  </si>
  <si>
    <t>C3450BB</t>
  </si>
  <si>
    <t>C37A786</t>
  </si>
  <si>
    <t>C343490</t>
  </si>
  <si>
    <t>C374993</t>
  </si>
  <si>
    <t>C34347B</t>
  </si>
  <si>
    <t>C374964</t>
  </si>
  <si>
    <t>C34344C</t>
  </si>
  <si>
    <t>C374624</t>
  </si>
  <si>
    <t>C343480</t>
  </si>
  <si>
    <t>C37307A</t>
  </si>
  <si>
    <t>C343482</t>
  </si>
  <si>
    <t>C373059</t>
  </si>
  <si>
    <t>C343446</t>
  </si>
  <si>
    <t>C36B66C</t>
  </si>
  <si>
    <t>C343447</t>
  </si>
  <si>
    <t>C36C23A</t>
  </si>
  <si>
    <t>C34352A</t>
  </si>
  <si>
    <t>C369234</t>
  </si>
  <si>
    <t>C343489</t>
  </si>
  <si>
    <t>C3690CC</t>
  </si>
  <si>
    <t>C343462</t>
  </si>
  <si>
    <t>C368C9B</t>
  </si>
  <si>
    <t>C343445</t>
  </si>
  <si>
    <t>C368C79</t>
  </si>
  <si>
    <t>C34353A</t>
  </si>
  <si>
    <t>C35485A</t>
  </si>
  <si>
    <t>C354937</t>
  </si>
  <si>
    <t>C343444</t>
  </si>
  <si>
    <t>C38741C</t>
  </si>
  <si>
    <t>C343443</t>
  </si>
  <si>
    <t>C368C08</t>
  </si>
  <si>
    <t>C343494</t>
  </si>
  <si>
    <t>C342C53</t>
  </si>
  <si>
    <t>C35487C</t>
  </si>
  <si>
    <t>C342C64</t>
  </si>
  <si>
    <t>C35240A</t>
  </si>
  <si>
    <t>C340C6C</t>
  </si>
  <si>
    <t>C35232A</t>
  </si>
  <si>
    <t>C339411</t>
  </si>
  <si>
    <t>C334528</t>
  </si>
  <si>
    <t>C3393B6</t>
  </si>
  <si>
    <t>C401A71</t>
  </si>
  <si>
    <t>C339444</t>
  </si>
  <si>
    <t>C3C8712</t>
  </si>
  <si>
    <t>C339570</t>
  </si>
  <si>
    <t>C3C5567</t>
  </si>
  <si>
    <t>C339563</t>
  </si>
  <si>
    <t>C3C082A</t>
  </si>
  <si>
    <t>C3BA7B2</t>
  </si>
  <si>
    <t>C3394B9</t>
  </si>
  <si>
    <t>C3B9466</t>
  </si>
  <si>
    <t>C33949C</t>
  </si>
  <si>
    <t>C3B910A</t>
  </si>
  <si>
    <t>C3285CB</t>
  </si>
  <si>
    <t>C3B9112</t>
  </si>
  <si>
    <t>C3285C7</t>
  </si>
  <si>
    <t>C3B4230</t>
  </si>
  <si>
    <t>C325B00</t>
  </si>
  <si>
    <t>C3B4232</t>
  </si>
  <si>
    <t>C3247B0</t>
  </si>
  <si>
    <t>C3B40CB</t>
  </si>
  <si>
    <t>C320AA6</t>
  </si>
  <si>
    <t>C3B417B</t>
  </si>
  <si>
    <t>C318BCC</t>
  </si>
  <si>
    <t>C3A85BB</t>
  </si>
  <si>
    <t>C318C0A</t>
  </si>
  <si>
    <t>C3A6A3A</t>
  </si>
  <si>
    <t>C318396</t>
  </si>
  <si>
    <t>C3A653C</t>
  </si>
  <si>
    <t>C312B65</t>
  </si>
  <si>
    <t>C3A6553</t>
  </si>
  <si>
    <t>C31316A</t>
  </si>
  <si>
    <t>C3A6540</t>
  </si>
  <si>
    <t>C313110</t>
  </si>
  <si>
    <t>C3A6453</t>
  </si>
  <si>
    <t>C31316B</t>
  </si>
  <si>
    <t>C3A645B</t>
  </si>
  <si>
    <t>C31315C</t>
  </si>
  <si>
    <t>C3A6459</t>
  </si>
  <si>
    <t>C309023</t>
  </si>
  <si>
    <t>C3A6461</t>
  </si>
  <si>
    <t>C309022</t>
  </si>
  <si>
    <t>C3A5955</t>
  </si>
  <si>
    <t>C3051B0</t>
  </si>
  <si>
    <t>C3A5A08</t>
  </si>
  <si>
    <t>C305183</t>
  </si>
  <si>
    <t>C3A5848</t>
  </si>
  <si>
    <t>C3051B9</t>
  </si>
  <si>
    <t>C3A5840</t>
  </si>
  <si>
    <t>C30277B</t>
  </si>
  <si>
    <t>C3A2774</t>
  </si>
  <si>
    <t>C2C9A53</t>
  </si>
  <si>
    <t>C2C9A56</t>
  </si>
  <si>
    <t>C2C9A33</t>
  </si>
  <si>
    <t>C2B8577</t>
  </si>
  <si>
    <t>C2B8581</t>
  </si>
  <si>
    <t>C2AC04B</t>
  </si>
  <si>
    <t>C2A8709</t>
  </si>
  <si>
    <t>C2A8716</t>
  </si>
  <si>
    <t>C27A744</t>
  </si>
  <si>
    <t>C27A741</t>
  </si>
  <si>
    <t>BA2A983</t>
  </si>
  <si>
    <t>BA2A953</t>
  </si>
  <si>
    <t>BA2A958</t>
  </si>
  <si>
    <t>C3C7553</t>
  </si>
  <si>
    <t>C36C239</t>
  </si>
  <si>
    <t>C387429</t>
  </si>
  <si>
    <t>C35CA16</t>
  </si>
  <si>
    <t>C39AC4C</t>
  </si>
  <si>
    <t>C39A235</t>
  </si>
  <si>
    <t>C3C5240</t>
  </si>
  <si>
    <t>C3C523A</t>
  </si>
  <si>
    <t>C36C268</t>
  </si>
  <si>
    <t>C368C99</t>
  </si>
  <si>
    <t>C3393A6</t>
  </si>
  <si>
    <t>C3A582B</t>
  </si>
  <si>
    <t>C362158</t>
  </si>
  <si>
    <t>C3B9118</t>
  </si>
  <si>
    <t>C3874A7</t>
  </si>
  <si>
    <t>C368CBB</t>
  </si>
  <si>
    <t>C35C998</t>
  </si>
  <si>
    <t>C368C00</t>
  </si>
  <si>
    <t>C3570B9</t>
  </si>
  <si>
    <t>C402937</t>
  </si>
  <si>
    <t>C3B90C9</t>
  </si>
  <si>
    <t>C3A5826</t>
  </si>
  <si>
    <t>C39AC43</t>
  </si>
  <si>
    <t>C391C09</t>
  </si>
  <si>
    <t>C391B84</t>
  </si>
  <si>
    <t>C391C0B</t>
  </si>
  <si>
    <t>C391B9B</t>
  </si>
  <si>
    <t>C391BA8</t>
  </si>
  <si>
    <t>C38774A</t>
  </si>
  <si>
    <t>C384514</t>
  </si>
  <si>
    <t>C384530</t>
  </si>
  <si>
    <t>C384522</t>
  </si>
  <si>
    <t>C384510</t>
  </si>
  <si>
    <t>C37A524</t>
  </si>
  <si>
    <t>C37A4B9</t>
  </si>
  <si>
    <t>C3748B3</t>
  </si>
  <si>
    <t>C3748B0</t>
  </si>
  <si>
    <t>C3748A3</t>
  </si>
  <si>
    <t>C374955</t>
  </si>
  <si>
    <t>C3748A0</t>
  </si>
  <si>
    <t>C374736</t>
  </si>
  <si>
    <t>C3745CA</t>
  </si>
  <si>
    <t>C374567</t>
  </si>
  <si>
    <t>C374614</t>
  </si>
  <si>
    <t>C373075</t>
  </si>
  <si>
    <t>C365A96</t>
  </si>
  <si>
    <t>C365A52</t>
  </si>
  <si>
    <t>C365A57</t>
  </si>
  <si>
    <t>C365A47</t>
  </si>
  <si>
    <t>C365A24</t>
  </si>
  <si>
    <t>C365A12</t>
  </si>
  <si>
    <t>C365A0C</t>
  </si>
  <si>
    <t>C365AC9</t>
  </si>
  <si>
    <t>C36160C</t>
  </si>
  <si>
    <t>C36160A</t>
  </si>
  <si>
    <t>C362089</t>
  </si>
  <si>
    <t>C361264</t>
  </si>
  <si>
    <t>C35CAA1</t>
  </si>
  <si>
    <t>C35CA9C</t>
  </si>
  <si>
    <t>C35CA9A</t>
  </si>
  <si>
    <t>C35C980</t>
  </si>
  <si>
    <t>C35C960</t>
  </si>
  <si>
    <t>C35C952</t>
  </si>
  <si>
    <t>C35C949</t>
  </si>
  <si>
    <t>C35C948</t>
  </si>
  <si>
    <t>C35C93C</t>
  </si>
  <si>
    <t>C354879</t>
  </si>
  <si>
    <t>C35326C</t>
  </si>
  <si>
    <t>C340C36</t>
  </si>
  <si>
    <t>C334B06</t>
  </si>
  <si>
    <t>C3349B9</t>
  </si>
  <si>
    <t>C3A5863</t>
  </si>
  <si>
    <t>C37C53B</t>
  </si>
  <si>
    <t>C36C241</t>
  </si>
  <si>
    <t>C368CA8</t>
  </si>
  <si>
    <t>C368CA1</t>
  </si>
  <si>
    <t>C368CB0</t>
  </si>
  <si>
    <t>C3C1B77</t>
  </si>
  <si>
    <t>C3C1B76</t>
  </si>
  <si>
    <t>C3C1B6C</t>
  </si>
  <si>
    <t>C3C1B70</t>
  </si>
  <si>
    <t>C3C1B6B</t>
  </si>
  <si>
    <t>C380366</t>
  </si>
  <si>
    <t>C380421</t>
  </si>
  <si>
    <t>C380599</t>
  </si>
  <si>
    <t>C374A4C</t>
  </si>
  <si>
    <t>C37062B</t>
  </si>
  <si>
    <t>C368C76</t>
  </si>
  <si>
    <t>C334017</t>
  </si>
  <si>
    <t>C374930</t>
  </si>
  <si>
    <t>C374948</t>
  </si>
  <si>
    <t>C374962</t>
  </si>
  <si>
    <t>C37496A</t>
  </si>
  <si>
    <t>C3746B7</t>
  </si>
  <si>
    <t>C37486B</t>
  </si>
  <si>
    <t>C374801</t>
  </si>
  <si>
    <t>C368CA3</t>
  </si>
  <si>
    <t>C35487A</t>
  </si>
  <si>
    <t>C35488B</t>
  </si>
  <si>
    <t>C3697C4</t>
  </si>
  <si>
    <t>C333C87</t>
  </si>
  <si>
    <t>C3BA7B7</t>
  </si>
  <si>
    <t>C27A750</t>
  </si>
  <si>
    <t>C374A02</t>
  </si>
  <si>
    <t>C380350</t>
  </si>
  <si>
    <t>C3760BA</t>
  </si>
  <si>
    <t>C374987</t>
  </si>
  <si>
    <t>C37494B</t>
  </si>
  <si>
    <t>C401985</t>
  </si>
  <si>
    <t>C387417</t>
  </si>
  <si>
    <t>C3922B8</t>
  </si>
  <si>
    <t>C374608</t>
  </si>
  <si>
    <t>C374606</t>
  </si>
  <si>
    <t>C3393B2</t>
  </si>
  <si>
    <t>C3393CC</t>
  </si>
  <si>
    <t>C368CA6</t>
  </si>
  <si>
    <t>C3CA592</t>
  </si>
  <si>
    <t>C3BC25A</t>
  </si>
  <si>
    <t>C3B9472</t>
  </si>
  <si>
    <t>C3B92C3</t>
  </si>
  <si>
    <t>C3A9744</t>
  </si>
  <si>
    <t>C3A7319</t>
  </si>
  <si>
    <t>C3A72AB</t>
  </si>
  <si>
    <t>C3A610B</t>
  </si>
  <si>
    <t>C3A6159</t>
  </si>
  <si>
    <t>C3A610A</t>
  </si>
  <si>
    <t>C3A5875</t>
  </si>
  <si>
    <t>C3A5889</t>
  </si>
  <si>
    <t>C3A58A9</t>
  </si>
  <si>
    <t>C3A5838</t>
  </si>
  <si>
    <t>C3A5837</t>
  </si>
  <si>
    <t>C3A583B</t>
  </si>
  <si>
    <t>C3A582A</t>
  </si>
  <si>
    <t>C3A5829</t>
  </si>
  <si>
    <t>C398AA3</t>
  </si>
  <si>
    <t>C387B73</t>
  </si>
  <si>
    <t>C387756</t>
  </si>
  <si>
    <t>C3877CC</t>
  </si>
  <si>
    <t>C387759</t>
  </si>
  <si>
    <t>C38770A</t>
  </si>
  <si>
    <t>C387712</t>
  </si>
  <si>
    <t>C3874BB</t>
  </si>
  <si>
    <t>C38753C</t>
  </si>
  <si>
    <t>C3847B3</t>
  </si>
  <si>
    <t>C380362</t>
  </si>
  <si>
    <t>C380330</t>
  </si>
  <si>
    <t>C38403B</t>
  </si>
  <si>
    <t>C38044C</t>
  </si>
  <si>
    <t>C3804B8</t>
  </si>
  <si>
    <t>C380994</t>
  </si>
  <si>
    <t>C374761</t>
  </si>
  <si>
    <t>C374892</t>
  </si>
  <si>
    <t>C374706</t>
  </si>
  <si>
    <t>C374739</t>
  </si>
  <si>
    <t>C374756</t>
  </si>
  <si>
    <t>C3746BC</t>
  </si>
  <si>
    <t>重合190个，新增2个为Weekkend计算差异，减少的46个,42个进入ignore，4个进入F&amp;P</t>
  </si>
  <si>
    <t>K2K55A</t>
  </si>
  <si>
    <t>HP DL360p HY Gen8 TCM2430 Svr</t>
  </si>
  <si>
    <t>4SHT42235930</t>
  </si>
  <si>
    <t>Hub 仓pull料，维修已经申请，2015-02-13 15:14:50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</si>
</sst>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_ "/>
  </numFmts>
  <fonts count="12">
    <font>
      <sz val="11"/>
      <color theme="1"/>
      <name val="Calibri"/>
      <family val="2"/>
      <scheme val="minor"/>
    </font>
    <font>
      <b/>
      <sz val="7.5"/>
      <color rgb="FF000000"/>
      <name val="Verdana"/>
      <family val="2"/>
    </font>
    <font>
      <sz val="7.5"/>
      <color rgb="FF000000"/>
      <name val="Verdana"/>
      <family val="2"/>
    </font>
    <font>
      <sz val="9"/>
      <name val="Calibri"/>
      <family val="3"/>
      <charset val="134"/>
      <scheme val="minor"/>
    </font>
    <font>
      <sz val="11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5F5D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4" tint="-0.249977111117893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61">
    <xf numFmtId="0" fontId="0" fillId="0" borderId="0" xfId="0"/>
    <xf numFmtId="0" fontId="6" fillId="0" borderId="2" xfId="0" applyFont="1" applyBorder="1"/>
    <xf numFmtId="0" fontId="6" fillId="0" borderId="3" xfId="0" applyFont="1" applyBorder="1"/>
    <xf numFmtId="0" fontId="0" fillId="0" borderId="1" xfId="0" applyBorder="1"/>
    <xf numFmtId="0" fontId="6" fillId="0" borderId="1" xfId="0" applyFont="1" applyBorder="1"/>
    <xf numFmtId="0" fontId="7" fillId="0" borderId="1" xfId="0" applyFont="1" applyBorder="1"/>
    <xf numFmtId="0" fontId="0" fillId="0" borderId="0" xfId="0" applyAlignment="1">
      <alignment horizontal="left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0" borderId="1" xfId="0" applyBorder="1" applyAlignment="1">
      <alignment horizontal="center"/>
    </xf>
    <xf numFmtId="10" fontId="0" fillId="0" borderId="1" xfId="0" applyNumberFormat="1" applyBorder="1"/>
    <xf numFmtId="0" fontId="0" fillId="2" borderId="1" xfId="0" applyFill="1" applyBorder="1"/>
    <xf numFmtId="10" fontId="0" fillId="3" borderId="1" xfId="0" applyNumberFormat="1" applyFill="1" applyBorder="1" applyAlignment="1"/>
    <xf numFmtId="0" fontId="0" fillId="0" borderId="0" xfId="0" pivotButton="1"/>
    <xf numFmtId="0" fontId="0" fillId="0" borderId="0" xfId="0" applyNumberFormat="1"/>
    <xf numFmtId="10" fontId="0" fillId="0" borderId="0" xfId="0" applyNumberFormat="1" applyBorder="1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0" xfId="0" applyFill="1" applyAlignment="1">
      <alignment horizontal="left"/>
    </xf>
    <xf numFmtId="0" fontId="0" fillId="3" borderId="1" xfId="0" applyFill="1" applyBorder="1" applyAlignment="1"/>
    <xf numFmtId="0" fontId="0" fillId="4" borderId="1" xfId="0" applyFill="1" applyBorder="1" applyAlignment="1"/>
    <xf numFmtId="0" fontId="0" fillId="3" borderId="1" xfId="0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11" fillId="5" borderId="16" xfId="0" applyFont="1" applyFill="1" applyBorder="1"/>
    <xf numFmtId="0" fontId="0" fillId="0" borderId="0" xfId="0" applyNumberFormat="1" applyFont="1"/>
    <xf numFmtId="0" fontId="11" fillId="5" borderId="0" xfId="0" applyFont="1" applyFill="1" applyBorder="1"/>
    <xf numFmtId="9" fontId="0" fillId="0" borderId="0" xfId="2" applyFont="1"/>
    <xf numFmtId="9" fontId="0" fillId="0" borderId="0" xfId="0" applyNumberFormat="1"/>
    <xf numFmtId="22" fontId="1" fillId="0" borderId="1" xfId="0" applyNumberFormat="1" applyFont="1" applyFill="1" applyBorder="1" applyAlignment="1">
      <alignment horizontal="left" vertical="center" wrapText="1"/>
    </xf>
    <xf numFmtId="22" fontId="0" fillId="0" borderId="0" xfId="0" applyNumberFormat="1" applyFill="1" applyAlignment="1">
      <alignment horizontal="left"/>
    </xf>
    <xf numFmtId="22" fontId="4" fillId="0" borderId="0" xfId="0" applyNumberFormat="1" applyFont="1" applyFill="1" applyAlignment="1">
      <alignment horizontal="left"/>
    </xf>
    <xf numFmtId="0" fontId="0" fillId="0" borderId="1" xfId="0" applyFill="1" applyBorder="1" applyAlignment="1">
      <alignment horizontal="left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top" wrapText="1"/>
    </xf>
    <xf numFmtId="0" fontId="2" fillId="6" borderId="1" xfId="0" applyFont="1" applyFill="1" applyBorder="1" applyAlignment="1">
      <alignment horizontal="left" vertical="center" wrapText="1"/>
    </xf>
    <xf numFmtId="22" fontId="2" fillId="6" borderId="1" xfId="0" applyNumberFormat="1" applyFont="1" applyFill="1" applyBorder="1" applyAlignment="1">
      <alignment horizontal="left" vertical="top" wrapText="1"/>
    </xf>
    <xf numFmtId="14" fontId="2" fillId="6" borderId="1" xfId="0" applyNumberFormat="1" applyFont="1" applyFill="1" applyBorder="1" applyAlignment="1">
      <alignment horizontal="left" vertical="top" wrapText="1"/>
    </xf>
    <xf numFmtId="22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10" fontId="8" fillId="2" borderId="5" xfId="0" applyNumberFormat="1" applyFont="1" applyFill="1" applyBorder="1" applyAlignment="1">
      <alignment horizontal="center" vertical="top" wrapText="1"/>
    </xf>
    <xf numFmtId="10" fontId="8" fillId="2" borderId="6" xfId="0" applyNumberFormat="1" applyFont="1" applyFill="1" applyBorder="1" applyAlignment="1">
      <alignment horizontal="center" vertical="top" wrapText="1"/>
    </xf>
    <xf numFmtId="10" fontId="8" fillId="2" borderId="7" xfId="0" applyNumberFormat="1" applyFont="1" applyFill="1" applyBorder="1" applyAlignment="1">
      <alignment horizontal="center" vertical="top" wrapText="1"/>
    </xf>
    <xf numFmtId="10" fontId="8" fillId="2" borderId="8" xfId="0" applyNumberFormat="1" applyFont="1" applyFill="1" applyBorder="1" applyAlignment="1">
      <alignment horizontal="center" vertical="top" wrapText="1"/>
    </xf>
    <xf numFmtId="10" fontId="8" fillId="2" borderId="0" xfId="0" applyNumberFormat="1" applyFont="1" applyFill="1" applyBorder="1" applyAlignment="1">
      <alignment horizontal="center" vertical="top" wrapText="1"/>
    </xf>
    <xf numFmtId="10" fontId="8" fillId="2" borderId="9" xfId="0" applyNumberFormat="1" applyFont="1" applyFill="1" applyBorder="1" applyAlignment="1">
      <alignment horizontal="center" vertical="top" wrapText="1"/>
    </xf>
    <xf numFmtId="10" fontId="8" fillId="2" borderId="10" xfId="0" applyNumberFormat="1" applyFont="1" applyFill="1" applyBorder="1" applyAlignment="1">
      <alignment horizontal="center" vertical="top" wrapText="1"/>
    </xf>
    <xf numFmtId="10" fontId="8" fillId="2" borderId="11" xfId="0" applyNumberFormat="1" applyFont="1" applyFill="1" applyBorder="1" applyAlignment="1">
      <alignment horizontal="center" vertical="top" wrapText="1"/>
    </xf>
    <xf numFmtId="10" fontId="8" fillId="2" borderId="12" xfId="0" applyNumberFormat="1" applyFont="1" applyFill="1" applyBorder="1" applyAlignment="1">
      <alignment horizontal="center" vertical="top" wrapText="1"/>
    </xf>
    <xf numFmtId="10" fontId="0" fillId="3" borderId="4" xfId="0" applyNumberFormat="1" applyFill="1" applyBorder="1" applyAlignment="1">
      <alignment horizontal="center"/>
    </xf>
    <xf numFmtId="10" fontId="0" fillId="3" borderId="13" xfId="0" applyNumberFormat="1" applyFill="1" applyBorder="1" applyAlignment="1">
      <alignment horizontal="center"/>
    </xf>
    <xf numFmtId="0" fontId="0" fillId="2" borderId="14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</cellXfs>
  <cellStyles count="3">
    <cellStyle name="Normal" xfId="0" builtinId="0"/>
    <cellStyle name="Percent" xfId="2" builtinId="5"/>
    <cellStyle name="常规 244" xfId="1"/>
  </cellStyles>
  <dxfs count="7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 b="1" i="0" baseline="0">
                <a:effectLst/>
              </a:rPr>
              <a:t>Total BKPL order QTY of week 01'15</a:t>
            </a:r>
            <a:r>
              <a:rPr lang="zh-CN" altLang="zh-CN" sz="1000" b="1" i="0" baseline="0">
                <a:effectLst/>
              </a:rPr>
              <a:t>（</a:t>
            </a:r>
            <a:r>
              <a:rPr lang="en-US" altLang="zh-CN" sz="1000" b="1" i="0" baseline="0">
                <a:effectLst/>
              </a:rPr>
              <a:t>F_TAT</a:t>
            </a:r>
            <a:r>
              <a:rPr lang="zh-CN" altLang="zh-CN" sz="1000" b="1" i="0" baseline="0">
                <a:effectLst/>
              </a:rPr>
              <a:t>）</a:t>
            </a:r>
            <a:endParaRPr lang="zh-CN" altLang="zh-CN" sz="1000">
              <a:effectLst/>
            </a:endParaRP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v>汇总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Lit>
              <c:ptCount val="10"/>
              <c:pt idx="0">
                <c:v>Diags issue</c:v>
              </c:pt>
              <c:pt idx="1">
                <c:v>Incoming</c:v>
              </c:pt>
              <c:pt idx="2">
                <c:v>MI Issue</c:v>
              </c:pt>
              <c:pt idx="3">
                <c:v>operator</c:v>
              </c:pt>
              <c:pt idx="4">
                <c:v>PGI</c:v>
              </c:pt>
              <c:pt idx="5">
                <c:v>Purge/Hold/ECO/control build</c:v>
              </c:pt>
              <c:pt idx="6">
                <c:v>rework</c:v>
              </c:pt>
              <c:pt idx="7">
                <c:v>setting</c:v>
              </c:pt>
              <c:pt idx="8">
                <c:v>shortage</c:v>
              </c:pt>
              <c:pt idx="9">
                <c:v>Special</c:v>
              </c:pt>
            </c:strLit>
          </c:cat>
          <c:val>
            <c:numLit>
              <c:formatCode>g/"通""用""格""式"</c:formatCode>
              <c:ptCount val="10"/>
              <c:pt idx="0">
                <c:v>3</c:v>
              </c:pt>
              <c:pt idx="1">
                <c:v>2</c:v>
              </c:pt>
              <c:pt idx="2">
                <c:v>7</c:v>
              </c:pt>
              <c:pt idx="3">
                <c:v>3</c:v>
              </c:pt>
              <c:pt idx="4">
                <c:v>138</c:v>
              </c:pt>
              <c:pt idx="5">
                <c:v>1</c:v>
              </c:pt>
              <c:pt idx="6">
                <c:v>5</c:v>
              </c:pt>
              <c:pt idx="7">
                <c:v>3</c:v>
              </c:pt>
              <c:pt idx="8">
                <c:v>57</c:v>
              </c:pt>
              <c:pt idx="9">
                <c:v>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[server OVER TAT list, base on handover 2015-01.xlsm]F_TAT_chart-2015-week 01!数据透视表2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 altLang="zh-CN" sz="1000" b="1" i="0" baseline="0">
                <a:effectLst/>
              </a:rPr>
              <a:t>OVER TAT ANALYSIS-Category</a:t>
            </a:r>
            <a:endParaRPr lang="zh-CN" altLang="zh-CN" sz="1000">
              <a:effectLst/>
            </a:endParaRP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'F_TAT_chart-2015-week 01'!$B$28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'F_TAT_chart-2015-week 01'!$A$29:$A$33</c:f>
              <c:strCache>
                <c:ptCount val="4"/>
                <c:pt idx="0">
                  <c:v>Material Issue</c:v>
                </c:pt>
                <c:pt idx="1">
                  <c:v>PGI Issue</c:v>
                </c:pt>
                <c:pt idx="2">
                  <c:v>Production Issue</c:v>
                </c:pt>
                <c:pt idx="3">
                  <c:v>Special downtime</c:v>
                </c:pt>
              </c:strCache>
            </c:strRef>
          </c:cat>
          <c:val>
            <c:numRef>
              <c:f>'F_TAT_chart-2015-week 01'!$B$29:$B$33</c:f>
              <c:numCache>
                <c:formatCode>General</c:formatCode>
                <c:ptCount val="4"/>
                <c:pt idx="0">
                  <c:v>45</c:v>
                </c:pt>
                <c:pt idx="1">
                  <c:v>159</c:v>
                </c:pt>
                <c:pt idx="2">
                  <c:v>15</c:v>
                </c:pt>
                <c:pt idx="3">
                  <c:v>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 sz="1000" b="1" i="0" baseline="0">
                <a:effectLst/>
              </a:rPr>
              <a:t>Total BKPL order QTY of week 01'15</a:t>
            </a:r>
            <a:r>
              <a:rPr lang="zh-CN" altLang="zh-CN" sz="1000" b="1" i="0" baseline="0">
                <a:effectLst/>
              </a:rPr>
              <a:t>（</a:t>
            </a:r>
            <a:r>
              <a:rPr lang="en-US" altLang="zh-CN" sz="1000" b="1" i="0" baseline="0">
                <a:effectLst/>
              </a:rPr>
              <a:t>P_TAT</a:t>
            </a:r>
            <a:r>
              <a:rPr lang="zh-CN" altLang="zh-CN" sz="1000" b="1" i="0" baseline="0">
                <a:effectLst/>
              </a:rPr>
              <a:t>）</a:t>
            </a:r>
            <a:endParaRPr lang="zh-CN" altLang="zh-CN" sz="1000">
              <a:effectLst/>
            </a:endParaRP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v>汇总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Lit>
              <c:ptCount val="9"/>
              <c:pt idx="0">
                <c:v>Diags issue</c:v>
              </c:pt>
              <c:pt idx="1">
                <c:v>Incoming</c:v>
              </c:pt>
              <c:pt idx="2">
                <c:v>MI Issue</c:v>
              </c:pt>
              <c:pt idx="3">
                <c:v>operator</c:v>
              </c:pt>
              <c:pt idx="4">
                <c:v>Purge/Hold/ECO/control build</c:v>
              </c:pt>
              <c:pt idx="5">
                <c:v>rework</c:v>
              </c:pt>
              <c:pt idx="6">
                <c:v>setting</c:v>
              </c:pt>
              <c:pt idx="7">
                <c:v>shortage</c:v>
              </c:pt>
              <c:pt idx="8">
                <c:v>Special</c:v>
              </c:pt>
            </c:strLit>
          </c:cat>
          <c:val>
            <c:numLit>
              <c:formatCode>g/"通""用""格""式"</c:formatCode>
              <c:ptCount val="9"/>
              <c:pt idx="0">
                <c:v>3</c:v>
              </c:pt>
              <c:pt idx="1">
                <c:v>2</c:v>
              </c:pt>
              <c:pt idx="2">
                <c:v>3</c:v>
              </c:pt>
              <c:pt idx="3">
                <c:v>3</c:v>
              </c:pt>
              <c:pt idx="4">
                <c:v>1</c:v>
              </c:pt>
              <c:pt idx="5">
                <c:v>3</c:v>
              </c:pt>
              <c:pt idx="6">
                <c:v>4</c:v>
              </c:pt>
              <c:pt idx="7">
                <c:v>1</c:v>
              </c:pt>
              <c:pt idx="8">
                <c:v>13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0</xdr:row>
      <xdr:rowOff>0</xdr:rowOff>
    </xdr:from>
    <xdr:to>
      <xdr:col>9</xdr:col>
      <xdr:colOff>1038225</xdr:colOff>
      <xdr:row>24</xdr:row>
      <xdr:rowOff>9524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38100</xdr:rowOff>
    </xdr:from>
    <xdr:to>
      <xdr:col>5</xdr:col>
      <xdr:colOff>38100</xdr:colOff>
      <xdr:row>49</xdr:row>
      <xdr:rowOff>38100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11</xdr:col>
      <xdr:colOff>19050</xdr:colOff>
      <xdr:row>24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76200</xdr:rowOff>
        </xdr:from>
        <xdr:to>
          <xdr:col>2</xdr:col>
          <xdr:colOff>219075</xdr:colOff>
          <xdr:row>0</xdr:row>
          <xdr:rowOff>609600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autofilll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152400</xdr:rowOff>
        </xdr:from>
        <xdr:to>
          <xdr:col>4</xdr:col>
          <xdr:colOff>0</xdr:colOff>
          <xdr:row>0</xdr:row>
          <xdr:rowOff>657225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grasp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erver%20OVER%20TAT%20list,%20base%20on%20handover%202015-01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16.567678935186" createdVersion="4" refreshedVersion="4" minRefreshableVersion="3" recordCount="572">
  <cacheSource type="worksheet">
    <worksheetSource ref="A1:Y573" sheet="summary-week 01-2015" r:id="rId2"/>
  </cacheSource>
  <cacheFields count="25">
    <cacheField name="Product Family" numFmtId="0">
      <sharedItems/>
    </cacheField>
    <cacheField name="SO#" numFmtId="0">
      <sharedItems containsSemiMixedTypes="0" containsString="0" containsNumber="1" containsInteger="1" minValue="313619471" maxValue="4051299018"/>
    </cacheField>
    <cacheField name="PLO#" numFmtId="0">
      <sharedItems containsSemiMixedTypes="0" containsString="0" containsNumber="1" containsInteger="1" minValue="1114929259" maxValue="1115328815"/>
    </cacheField>
    <cacheField name="Part#" numFmtId="0">
      <sharedItems/>
    </cacheField>
    <cacheField name="Part Desc" numFmtId="0">
      <sharedItems/>
    </cacheField>
    <cacheField name="Qty" numFmtId="0">
      <sharedItems containsSemiMixedTypes="0" containsString="0" containsNumber="1" containsInteger="1" minValue="1" maxValue="195"/>
    </cacheField>
    <cacheField name="Shipref" numFmtId="0">
      <sharedItems/>
    </cacheField>
    <cacheField name="RTP Date" numFmtId="22">
      <sharedItems containsSemiMixedTypes="0" containsNonDate="0" containsDate="1" containsString="0" minDate="2014-12-19T19:56:25" maxDate="2015-01-08T20:59:27"/>
    </cacheField>
    <cacheField name="Date To Ship" numFmtId="0">
      <sharedItems containsSemiMixedTypes="0" containsNonDate="0" containsDate="1" containsString="0" minDate="2014-12-24T00:00:00" maxDate="2015-01-15T00:00:00"/>
    </cacheField>
    <cacheField name="Shipped Date" numFmtId="22">
      <sharedItems containsSemiMixedTypes="0" containsNonDate="0" containsDate="1" containsString="0" minDate="2015-01-05T08:27:14" maxDate="2015-01-10T22:42:51"/>
    </cacheField>
    <cacheField name="Material Arrival Time" numFmtId="22">
      <sharedItems containsSemiMixedTypes="0" containsNonDate="0" containsDate="1" containsString="0" minDate="2014-12-20T09:12:00" maxDate="2015-01-09T15:38:00"/>
    </cacheField>
    <cacheField name="Build Start Date" numFmtId="22">
      <sharedItems containsSemiMixedTypes="0" containsNonDate="0" containsDate="1" containsString="0" minDate="2014-12-20T11:51:11" maxDate="2015-01-10T01:43:29"/>
    </cacheField>
    <cacheField name="Handover Time" numFmtId="22">
      <sharedItems containsSemiMixedTypes="0" containsNonDate="0" containsDate="1" containsString="0" minDate="2014-12-21T07:42:13" maxDate="2015-01-10T21:35:12"/>
    </cacheField>
    <cacheField name="P_TAT" numFmtId="164">
      <sharedItems containsSemiMixedTypes="0" containsString="0" containsNumber="1" minValue="6.4149999999208376" maxValue="159.38972222234588"/>
    </cacheField>
    <cacheField name="F_TAT" numFmtId="164">
      <sharedItems containsSemiMixedTypes="0" containsString="0" containsNumber="1" minValue="25.624444444372784" maxValue="458.66166666668141"/>
    </cacheField>
    <cacheField name="Flag" numFmtId="164">
      <sharedItems count="4">
        <s v="Ignore"/>
        <s v="F&amp;P"/>
        <s v="F only"/>
        <s v="P only"/>
      </sharedItems>
    </cacheField>
    <cacheField name="Duration" numFmtId="164">
      <sharedItems containsSemiMixedTypes="0" containsString="0" containsNumber="1" minValue="5.5327777778729796" maxValue="345.38416666671401"/>
    </cacheField>
    <cacheField name="PGI Time" numFmtId="165">
      <sharedItems containsSemiMixedTypes="0" containsString="0" containsNumber="1" minValue="0.97277777781710029" maxValue="422.89833333349088"/>
    </cacheField>
    <cacheField name="Category" numFmtId="0">
      <sharedItems containsBlank="1" count="5">
        <m/>
        <s v="Production Issue"/>
        <s v="Special downtime"/>
        <s v="PGI Issue"/>
        <s v="Material Issue"/>
      </sharedItems>
    </cacheField>
    <cacheField name="Factor" numFmtId="0">
      <sharedItems containsBlank="1"/>
    </cacheField>
    <cacheField name="Owner" numFmtId="0">
      <sharedItems containsBlank="1"/>
    </cacheField>
    <cacheField name="Reason_F" numFmtId="0">
      <sharedItems containsBlank="1" count="11">
        <m/>
        <s v="setting"/>
        <s v="Special"/>
        <s v="PGI"/>
        <s v="MI Issue"/>
        <s v="shortage"/>
        <s v="Diags issue"/>
        <s v="Purge/Hold/ECO/control build"/>
        <s v="Incoming"/>
        <s v="rework"/>
        <s v="operator"/>
      </sharedItems>
    </cacheField>
    <cacheField name="Reason_P" numFmtId="0">
      <sharedItems containsBlank="1" count="11">
        <m/>
        <s v="setting"/>
        <s v="Special"/>
        <s v="PGI"/>
        <s v="MI Issue"/>
        <s v="shortage"/>
        <s v="Diags issue"/>
        <s v="Purge/Hold/ECO/control build"/>
        <s v="Incoming"/>
        <s v="rework"/>
        <s v="operator"/>
      </sharedItems>
    </cacheField>
    <cacheField name="Qty2" numFmtId="0">
      <sharedItems containsSemiMixedTypes="0" containsString="0" containsNumber="1" containsInteger="1" minValue="1" maxValue="1"/>
    </cacheField>
    <cacheField name="Deti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2026.522658912036" createdVersion="5" refreshedVersion="5" minRefreshableVersion="3" recordCount="461">
  <cacheSource type="worksheet">
    <worksheetSource ref="A1:AA1" sheet="summary-week 01-2015"/>
  </cacheSource>
  <cacheFields count="27">
    <cacheField name="Product Family" numFmtId="0">
      <sharedItems/>
    </cacheField>
    <cacheField name="SO#" numFmtId="0">
      <sharedItems containsSemiMixedTypes="0" containsString="0" containsNumber="1" containsInteger="1" minValue="313625164" maxValue="4051300957"/>
    </cacheField>
    <cacheField name="PLO#" numFmtId="0">
      <sharedItems containsSemiMixedTypes="0" containsString="0" containsNumber="1" containsInteger="1" minValue="1114935978" maxValue="1115369568"/>
    </cacheField>
    <cacheField name="Part#" numFmtId="0">
      <sharedItems/>
    </cacheField>
    <cacheField name="Part Desc" numFmtId="0">
      <sharedItems/>
    </cacheField>
    <cacheField name="Qty" numFmtId="0">
      <sharedItems containsSemiMixedTypes="0" containsString="0" containsNumber="1" containsInteger="1" minValue="1" maxValue="130"/>
    </cacheField>
    <cacheField name="Shipref" numFmtId="0">
      <sharedItems/>
    </cacheField>
    <cacheField name="RTP Date" numFmtId="22">
      <sharedItems containsSemiMixedTypes="0" containsNonDate="0" containsDate="1" containsString="0" minDate="2014-10-21T15:06:56" maxDate="2015-01-16T19:46:53"/>
    </cacheField>
    <cacheField name="Date To Ship" numFmtId="0">
      <sharedItems containsSemiMixedTypes="0" containsNonDate="0" containsDate="1" containsString="0" minDate="2014-10-24T00:00:00" maxDate="2015-01-23T00:00:00"/>
    </cacheField>
    <cacheField name="Shipped Date" numFmtId="22">
      <sharedItems containsSemiMixedTypes="0" containsNonDate="0" containsDate="1" containsString="0" minDate="2015-01-12T11:54:15" maxDate="2015-01-18T20:51:09"/>
    </cacheField>
    <cacheField name="Material Arrival Time" numFmtId="22">
      <sharedItems containsSemiMixedTypes="0" containsNonDate="0" containsDate="1" containsString="0" minDate="2014-10-22T10:40:00" maxDate="2015-01-17T15:18:00"/>
    </cacheField>
    <cacheField name="Build Start Date" numFmtId="22">
      <sharedItems containsSemiMixedTypes="0" containsNonDate="0" containsDate="1" containsString="0" minDate="2014-10-22T14:46:35" maxDate="2015-01-17T16:46:23"/>
    </cacheField>
    <cacheField name="Handover Time" numFmtId="22">
      <sharedItems containsSemiMixedTypes="0" containsNonDate="0" containsDate="1" containsString="0" minDate="2014-10-23T13:13:59" maxDate="2015-01-18T19:29:56"/>
    </cacheField>
    <cacheField name="P_TAT" numFmtId="164">
      <sharedItems containsSemiMixedTypes="0" containsString="0" containsNumber="1" minValue="1.7000000476837158" maxValue="179.30000305175781"/>
    </cacheField>
    <cacheField name="F_TAT" numFmtId="164">
      <sharedItems containsSemiMixedTypes="0" containsString="0" containsNumber="1" minValue="8.8000001907348633" maxValue="1511.199951171875"/>
    </cacheField>
    <cacheField name="Flag" numFmtId="164">
      <sharedItems count="4">
        <s v="Ignore"/>
        <s v="F&amp;P"/>
        <s v="F only"/>
        <s v="P only"/>
      </sharedItems>
    </cacheField>
    <cacheField name="Duration" numFmtId="164">
      <sharedItems containsNonDate="0" containsString="0" containsBlank="1"/>
    </cacheField>
    <cacheField name="PGI Time" numFmtId="165">
      <sharedItems containsNonDate="0" containsString="0" containsBlank="1"/>
    </cacheField>
    <cacheField name="Category" numFmtId="0">
      <sharedItems containsNonDate="0" containsString="0" containsBlank="1"/>
    </cacheField>
    <cacheField name="Factor" numFmtId="0">
      <sharedItems containsNonDate="0" containsString="0" containsBlank="1"/>
    </cacheField>
    <cacheField name="Owner" numFmtId="0">
      <sharedItems containsNonDate="0" containsString="0" containsBlank="1"/>
    </cacheField>
    <cacheField name="Reason_F" numFmtId="0">
      <sharedItems containsNonDate="0" containsString="0" containsBlank="1"/>
    </cacheField>
    <cacheField name="Reason_P" numFmtId="0">
      <sharedItems containsNonDate="0" containsString="0" containsBlank="1"/>
    </cacheField>
    <cacheField name="Qty2" numFmtId="0">
      <sharedItems containsNonDate="0" containsString="0" containsBlank="1"/>
    </cacheField>
    <cacheField name="Detial" numFmtId="0">
      <sharedItems containsNonDate="0" containsString="0" containsBlank="1"/>
    </cacheField>
    <cacheField name="IF FE2" numFmtId="0">
      <sharedItems/>
    </cacheField>
    <cacheField name="IF GROUP ORDER" numFmtId="0">
      <sharedItems containsBlank="1" containsMixedTypes="1" containsNumber="1" minValue="54.886944444326218" maxValue="54.8869444443262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2">
  <r>
    <s v="TSG_ENCL_PF"/>
    <n v="313894783"/>
    <n v="1115307860"/>
    <s v="681844-B21"/>
    <s v="HP BLc7000 CTO 3 IN LCD Plat Enclosure"/>
    <n v="1"/>
    <s v="4ZZT42017592"/>
    <d v="2015-01-07T10:16:42"/>
    <d v="2015-01-09T00:00:00"/>
    <d v="2015-01-08T11:54:10"/>
    <d v="2015-01-07T16:29:23"/>
    <d v="2015-01-07T16:29:23"/>
    <d v="2015-01-08T10:45:36"/>
    <n v="18.270277777744923"/>
    <n v="25.624444444372784"/>
    <x v="0"/>
    <n v="6.2113888888852671"/>
    <n v="1.1427777777425945"/>
    <x v="0"/>
    <m/>
    <m/>
    <x v="0"/>
    <x v="0"/>
    <n v="1"/>
    <s v="rework from cancel order"/>
  </r>
  <r>
    <s v="TSG_MLDL_PF"/>
    <n v="313891727"/>
    <n v="1115299848"/>
    <s v="669257-B21 #AKM"/>
    <s v="HP DL380e Gen8 12LFF CTO Server"/>
    <n v="2"/>
    <s v="4ZZT42014789"/>
    <d v="2015-01-06T19:58:22"/>
    <d v="2015-01-12T00:00:00"/>
    <d v="2015-01-08T03:52:00"/>
    <d v="2015-01-07T09:17:00"/>
    <d v="2015-01-07T13:31:41"/>
    <d v="2015-01-08T02:05:23"/>
    <n v="16.806388888915535"/>
    <n v="31.893888888938818"/>
    <x v="0"/>
    <n v="13.310555555624887"/>
    <n v="1.7769444443983957"/>
    <x v="0"/>
    <m/>
    <m/>
    <x v="0"/>
    <x v="0"/>
    <n v="1"/>
    <m/>
  </r>
  <r>
    <s v="TSG_ENCL_PF"/>
    <n v="313883889"/>
    <n v="1115291887"/>
    <s v="681844-B21"/>
    <s v="HP BLc7000 CTO 3 IN LCD Plat Enclosure"/>
    <n v="1"/>
    <s v="4ZZT42014035"/>
    <d v="2015-01-06T17:35:19"/>
    <d v="2015-01-12T00:00:00"/>
    <d v="2015-01-08T12:58:23"/>
    <d v="2015-01-07T13:07:00"/>
    <d v="2015-01-07T16:15:51"/>
    <d v="2015-01-08T10:45:18"/>
    <n v="21.638333333423361"/>
    <n v="43.38444444432389"/>
    <x v="0"/>
    <n v="19.528055555478204"/>
    <n v="2.2180555554223247"/>
    <x v="0"/>
    <m/>
    <m/>
    <x v="0"/>
    <x v="0"/>
    <n v="1"/>
    <m/>
  </r>
  <r>
    <s v="TSG_BLD_PF"/>
    <n v="313883889"/>
    <n v="1115291888"/>
    <s v="634975-B21"/>
    <s v="HP BL465c Gen8 10Gb Flb CTO Blade"/>
    <n v="2"/>
    <s v="4ZZT42014035"/>
    <d v="2015-01-06T17:34:27"/>
    <d v="2015-01-12T00:00:00"/>
    <d v="2015-01-08T12:58:23"/>
    <d v="2015-01-07T13:07:00"/>
    <d v="2015-01-07T15:49:19"/>
    <d v="2015-01-08T09:22:21"/>
    <n v="20.255833333299961"/>
    <n v="43.398888888827059"/>
    <x v="0"/>
    <n v="19.542499999981374"/>
    <n v="3.6005555555457249"/>
    <x v="0"/>
    <m/>
    <m/>
    <x v="0"/>
    <x v="0"/>
    <n v="1"/>
    <m/>
  </r>
  <r>
    <s v="TSG_BLD_PF"/>
    <n v="313883889"/>
    <n v="1115291889"/>
    <s v="634975-B21"/>
    <s v="HP BL465c Gen8 10Gb Flb CTO Blade"/>
    <n v="4"/>
    <s v="4ZZT42014035"/>
    <d v="2015-01-06T17:34:19"/>
    <d v="2015-01-12T00:00:00"/>
    <d v="2015-01-08T12:58:23"/>
    <d v="2015-01-07T13:07:00"/>
    <d v="2015-01-07T15:55:02"/>
    <d v="2015-01-08T10:09:32"/>
    <n v="21.042222222313285"/>
    <n v="43.401111111044884"/>
    <x v="0"/>
    <n v="19.544722222199198"/>
    <n v="2.814166666532401"/>
    <x v="0"/>
    <m/>
    <m/>
    <x v="0"/>
    <x v="0"/>
    <n v="1"/>
    <m/>
  </r>
  <r>
    <s v="TSG_MLDL_PF"/>
    <n v="313844480"/>
    <n v="1115233298"/>
    <s v="766982-B21 #AKM"/>
    <s v="HP DL380z Gen8 8 SFF CTO Virtual WS"/>
    <n v="2"/>
    <s v="4ZZT42011082"/>
    <d v="2015-01-06T01:05:11"/>
    <d v="2015-01-12T00:00:00"/>
    <d v="2015-01-10T03:18:38"/>
    <d v="2015-01-06T06:52:00"/>
    <d v="2015-01-06T15:00:30"/>
    <d v="2015-01-10T01:55:06"/>
    <n v="91.051666666637175"/>
    <n v="98.224166666564997"/>
    <x v="1"/>
    <n v="5.780277777754236"/>
    <n v="1.3922222221735865"/>
    <x v="1"/>
    <s v="setting"/>
    <s v="PE"/>
    <x v="1"/>
    <x v="1"/>
    <n v="1"/>
    <s v="此单另外配置了一个提升架,730870-B21@@这块卡不知道安装在哪个提升架上,待PE确认"/>
  </r>
  <r>
    <s v="TSG_BLD_PF"/>
    <n v="313883890"/>
    <n v="1115291906"/>
    <s v="634975-B21"/>
    <s v="HP BL465c Gen8 10Gb Flb CTO Blade"/>
    <n v="5"/>
    <s v="4ZZT41990654"/>
    <d v="2015-01-01T09:54:58"/>
    <d v="2015-01-07T00:00:00"/>
    <d v="2015-01-07T06:12:49"/>
    <d v="2015-01-05T18:01:00"/>
    <d v="2015-01-06T10:09:10"/>
    <d v="2015-01-07T03:10:00"/>
    <n v="33.149999999965075"/>
    <n v="140.29749999992782"/>
    <x v="2"/>
    <n v="104.10055555554572"/>
    <n v="3.0469444444170222"/>
    <x v="2"/>
    <s v="Special"/>
    <s v="Others"/>
    <x v="2"/>
    <x v="2"/>
    <n v="1"/>
    <m/>
  </r>
  <r>
    <s v="TSG_BLD_PF"/>
    <n v="313883890"/>
    <n v="1115291905"/>
    <s v="634975-B21"/>
    <s v="HP BL465c Gen8 10Gb Flb CTO Blade"/>
    <n v="2"/>
    <s v="4ZZT41990654"/>
    <d v="2015-01-01T09:54:59"/>
    <d v="2015-01-07T00:00:00"/>
    <d v="2015-01-07T06:12:49"/>
    <d v="2015-01-05T18:01:00"/>
    <d v="2015-01-06T10:19:36"/>
    <d v="2015-01-07T03:52:19"/>
    <n v="33.855277777765878"/>
    <n v="140.29722222225973"/>
    <x v="2"/>
    <n v="104.10027777787764"/>
    <n v="2.34166666661622"/>
    <x v="2"/>
    <s v="Special"/>
    <s v="Others"/>
    <x v="2"/>
    <x v="2"/>
    <n v="1"/>
    <m/>
  </r>
  <r>
    <s v="TSG_MLDL_PF"/>
    <n v="313881601"/>
    <n v="1115285516"/>
    <s v="653203-B21 #AKM"/>
    <s v="HP DL385p Gen8 8-SFF CTO Server"/>
    <n v="1"/>
    <s v="4ZZT41981403"/>
    <d v="2014-12-30T18:48:10"/>
    <d v="2015-01-06T00:00:00"/>
    <d v="2015-01-05T08:43:12"/>
    <d v="2014-12-31T12:59:00"/>
    <d v="2014-12-31T15:52:07"/>
    <d v="2015-01-01T07:57:03"/>
    <n v="18.967499999853317"/>
    <n v="133.91722222231328"/>
    <x v="2"/>
    <n v="18.180555555678438"/>
    <n v="96.76916666678153"/>
    <x v="3"/>
    <s v="PGI"/>
    <s v="WH"/>
    <x v="3"/>
    <x v="3"/>
    <n v="1"/>
    <m/>
  </r>
  <r>
    <s v="TSG_MLDL_PF"/>
    <n v="313880627"/>
    <n v="1115284166"/>
    <s v="728551-B21 #AKM"/>
    <s v="HP DL580 Gen8 CTO Svr"/>
    <n v="1"/>
    <s v="4ZZT41980042"/>
    <d v="2014-12-30T14:35:07"/>
    <d v="2015-01-07T00:00:00"/>
    <d v="2015-01-06T00:05:24"/>
    <d v="2014-12-31T20:47:00"/>
    <d v="2015-01-01T00:35:24"/>
    <d v="2015-01-05T21:45:52"/>
    <n v="120.9811111111776"/>
    <n v="153.50472222233657"/>
    <x v="0"/>
    <n v="30.198055555578321"/>
    <n v="2.3255555555806495"/>
    <x v="0"/>
    <m/>
    <m/>
    <x v="0"/>
    <x v="0"/>
    <n v="1"/>
    <s v="short 732411-b21@@+元旦休息1号到4号"/>
  </r>
  <r>
    <s v="TSG_MLDL_PF"/>
    <n v="4051299018"/>
    <n v="1115328815"/>
    <s v="748953-291"/>
    <s v="HP ML350e Gen8 v2 E5-2407v2 Base JP Svr"/>
    <n v="1"/>
    <s v="4YOA42026504"/>
    <d v="2015-01-08T20:55:26"/>
    <d v="2015-01-13T00:00:00"/>
    <d v="2015-01-10T19:32:49"/>
    <d v="2015-01-09T15:38:00"/>
    <d v="2015-01-09T21:58:16"/>
    <d v="2015-01-10T17:48:10"/>
    <n v="26.169444444472902"/>
    <n v="46.623055555508472"/>
    <x v="0"/>
    <n v="18.709444444393739"/>
    <n v="1.7441666666418314"/>
    <x v="0"/>
    <m/>
    <m/>
    <x v="0"/>
    <x v="0"/>
    <n v="1"/>
    <m/>
  </r>
  <r>
    <s v="TSG_MLDL_PF"/>
    <n v="4051299009"/>
    <n v="1115328106"/>
    <s v="768714-295"/>
    <s v="HP DL320e Gen8v2 E3-1241v3 JP Svr/Promo"/>
    <n v="5"/>
    <s v="4YOA42026503"/>
    <d v="2015-01-08T20:56:32"/>
    <d v="2015-01-13T00:00:00"/>
    <d v="2015-01-10T17:26:47"/>
    <d v="2015-01-09T15:38:00"/>
    <d v="2015-01-09T21:38:34"/>
    <d v="2015-01-10T15:10:38"/>
    <n v="23.543888888962101"/>
    <n v="44.504166666709352"/>
    <x v="0"/>
    <n v="18.691111111140344"/>
    <n v="2.2691666666069068"/>
    <x v="0"/>
    <m/>
    <m/>
    <x v="0"/>
    <x v="0"/>
    <n v="1"/>
    <m/>
  </r>
  <r>
    <s v="TSG_MLDL_PF"/>
    <n v="4051298096"/>
    <n v="1115328091"/>
    <s v="749360-295"/>
    <s v="HP ML350eGen8v2 E5-2420v2 JP Svr/Promo"/>
    <n v="1"/>
    <s v="4YOA42026499"/>
    <d v="2015-01-08T20:51:26"/>
    <d v="2015-01-13T00:00:00"/>
    <d v="2015-01-10T18:13:48"/>
    <d v="2015-01-09T15:38:00"/>
    <d v="2015-01-09T22:03:29"/>
    <d v="2015-01-10T16:10:34"/>
    <n v="24.542777777882293"/>
    <n v="45.372777777782176"/>
    <x v="0"/>
    <n v="18.776111111103091"/>
    <n v="2.0538888887967914"/>
    <x v="0"/>
    <m/>
    <m/>
    <x v="0"/>
    <x v="0"/>
    <n v="1"/>
    <m/>
  </r>
  <r>
    <s v="TSG_MLDL_PF"/>
    <n v="4051296386"/>
    <n v="1115319820"/>
    <s v="675421-291"/>
    <s v="HP DL320e Gen8 E3-1220v2 Hot Plug JP Svr"/>
    <n v="12"/>
    <s v="4YOA42020844"/>
    <d v="2015-01-07T20:58:52"/>
    <d v="2015-01-12T00:00:00"/>
    <d v="2015-01-09T06:41:21"/>
    <d v="2015-01-08T10:15:00"/>
    <d v="2015-01-08T12:39:02"/>
    <d v="2015-01-09T04:42:59"/>
    <n v="18.466388888773508"/>
    <n v="33.708055555529427"/>
    <x v="0"/>
    <n v="13.268888888997026"/>
    <n v="1.9727777777588926"/>
    <x v="0"/>
    <m/>
    <m/>
    <x v="0"/>
    <x v="0"/>
    <n v="1"/>
    <m/>
  </r>
  <r>
    <s v="TSG_MLDL_PF"/>
    <n v="4051296384"/>
    <n v="1115319817"/>
    <s v="675422-291"/>
    <s v="HP DL320e Gen8 E3-1240v2 Hot Plug JP Svr"/>
    <n v="5"/>
    <s v="4YOA42020843"/>
    <d v="2015-01-07T20:58:59"/>
    <d v="2015-01-12T00:00:00"/>
    <d v="2015-01-09T04:02:18"/>
    <d v="2015-01-08T10:15:00"/>
    <d v="2015-01-08T12:46:31"/>
    <d v="2015-01-09T02:28:00"/>
    <n v="16.21666666661622"/>
    <n v="31.055277777719311"/>
    <x v="0"/>
    <n v="13.26694444444729"/>
    <n v="1.5716666666558012"/>
    <x v="0"/>
    <m/>
    <m/>
    <x v="0"/>
    <x v="0"/>
    <n v="1"/>
    <m/>
  </r>
  <r>
    <s v="TSG_MLDL_PF"/>
    <n v="4051296380"/>
    <n v="1115319815"/>
    <s v="768714-295"/>
    <s v="HP DL320e Gen8v2 E3-1241v3 JP Svr/Promo"/>
    <n v="5"/>
    <s v="4YOA42020842"/>
    <d v="2015-01-07T20:58:52"/>
    <d v="2015-01-12T00:00:00"/>
    <d v="2015-01-09T08:43:21"/>
    <d v="2015-01-08T10:15:00"/>
    <d v="2015-01-08T13:00:32"/>
    <d v="2015-01-09T04:46:45"/>
    <n v="18.529166666558012"/>
    <n v="35.741388888854999"/>
    <x v="0"/>
    <n v="13.268888888997026"/>
    <n v="3.9433333332999609"/>
    <x v="0"/>
    <m/>
    <m/>
    <x v="0"/>
    <x v="0"/>
    <n v="1"/>
    <m/>
  </r>
  <r>
    <s v="TSG_MLDL_PF"/>
    <n v="4051295667"/>
    <n v="1115309306"/>
    <s v="736992-295"/>
    <s v="HP ML350pT08 E5-2630v2 LFF JP Svr/Promo"/>
    <n v="1"/>
    <s v="4YOA42020143"/>
    <d v="2015-01-07T18:25:48"/>
    <d v="2015-01-12T00:00:00"/>
    <d v="2015-01-09T14:02:39"/>
    <d v="2015-01-08T10:15:00"/>
    <d v="2015-01-08T12:55:44"/>
    <d v="2015-01-09T11:14:36"/>
    <n v="24.993333333288319"/>
    <n v="43.614166666811798"/>
    <x v="0"/>
    <n v="15.8200000001234"/>
    <n v="2.8008333334000781"/>
    <x v="0"/>
    <m/>
    <m/>
    <x v="0"/>
    <x v="0"/>
    <n v="1"/>
    <m/>
  </r>
  <r>
    <s v="TSG_MLDL_PF"/>
    <n v="4051297523"/>
    <n v="1115303899"/>
    <s v="768638-291"/>
    <s v="HP DL320e Gen8v2 G3240 Entry NHP JP Svr"/>
    <n v="1"/>
    <s v="4YOA42015147"/>
    <d v="2015-01-06T22:12:24"/>
    <d v="2015-01-09T00:00:00"/>
    <d v="2015-01-08T14:50:11"/>
    <d v="2015-01-07T09:17:00"/>
    <d v="2015-01-07T16:21:01"/>
    <d v="2015-01-08T13:08:31"/>
    <n v="27.858611111005303"/>
    <n v="40.629722222161945"/>
    <x v="0"/>
    <n v="11.076666666660458"/>
    <n v="1.6944444444961846"/>
    <x v="0"/>
    <m/>
    <m/>
    <x v="0"/>
    <x v="0"/>
    <n v="1"/>
    <m/>
  </r>
  <r>
    <s v="TSG_MLDL_PF"/>
    <n v="4051297517"/>
    <n v="1115303893"/>
    <s v="780854-295"/>
    <s v="HP ML150 Gen9 E5-2603 v3 LFF JP Svr/Prom"/>
    <n v="10"/>
    <s v="4YOA42015146"/>
    <d v="2015-01-06T22:12:33"/>
    <d v="2015-01-09T00:00:00"/>
    <d v="2015-01-08T18:17:18"/>
    <d v="2015-01-07T09:17:00"/>
    <d v="2015-01-07T12:51:19"/>
    <d v="2015-01-08T16:43:16"/>
    <n v="31.437777777726296"/>
    <n v="44.079166666720994"/>
    <x v="0"/>
    <n v="11.074166666774545"/>
    <n v="1.5672222222201526"/>
    <x v="0"/>
    <m/>
    <m/>
    <x v="0"/>
    <x v="0"/>
    <n v="1"/>
    <m/>
  </r>
  <r>
    <s v="TSG_MLDL_PF"/>
    <n v="4051297515"/>
    <n v="1115303892"/>
    <s v="768714-295"/>
    <s v="HP DL320e Gen8v2 E3-1241v3 JP Svr/Promo"/>
    <n v="10"/>
    <s v="4YOA42015145"/>
    <d v="2015-01-06T22:12:31"/>
    <d v="2015-01-09T00:00:00"/>
    <d v="2015-01-08T18:48:12"/>
    <d v="2015-01-07T09:17:00"/>
    <d v="2015-01-07T12:35:37"/>
    <d v="2015-01-08T16:46:57"/>
    <n v="31.499166666646488"/>
    <n v="44.594722222303972"/>
    <x v="0"/>
    <n v="11.074722222285345"/>
    <n v="2.0208333333721384"/>
    <x v="0"/>
    <m/>
    <m/>
    <x v="0"/>
    <x v="0"/>
    <n v="1"/>
    <m/>
  </r>
  <r>
    <s v="TSG_MLDL_PF"/>
    <n v="4051297110"/>
    <n v="1115308278"/>
    <s v="K1M64A"/>
    <s v="HP ML310e Gen8v2 E3-1241v3 SP1204JP Svr"/>
    <n v="3"/>
    <s v="4YOA42015144"/>
    <d v="2015-01-06T22:12:24"/>
    <d v="2015-01-09T00:00:00"/>
    <d v="2015-01-08T16:42:14"/>
    <d v="2015-01-07T09:17:00"/>
    <d v="2015-01-07T12:29:40"/>
    <d v="2015-01-08T14:46:07"/>
    <n v="29.485277777770534"/>
    <n v="42.49722222215496"/>
    <x v="0"/>
    <n v="11.076666666660458"/>
    <n v="1.935277777723968"/>
    <x v="0"/>
    <m/>
    <m/>
    <x v="0"/>
    <x v="0"/>
    <n v="1"/>
    <m/>
  </r>
  <r>
    <s v="TSG_MLDL_PF"/>
    <n v="4051295684"/>
    <n v="1115310822"/>
    <s v="675421-291"/>
    <s v="HP DL320e Gen8 E3-1220v2 Hot Plug JP Svr"/>
    <n v="2"/>
    <s v="4YOA42014961"/>
    <d v="2015-01-06T21:04:32"/>
    <d v="2015-01-09T00:00:00"/>
    <d v="2015-01-08T14:50:11"/>
    <d v="2015-01-07T09:17:00"/>
    <d v="2015-01-07T12:46:39"/>
    <d v="2015-01-08T12:55:35"/>
    <n v="27.643055555527098"/>
    <n v="41.760833333304618"/>
    <x v="0"/>
    <n v="12.20777777780313"/>
    <n v="1.9099999999743886"/>
    <x v="0"/>
    <m/>
    <m/>
    <x v="0"/>
    <x v="0"/>
    <n v="1"/>
    <m/>
  </r>
  <r>
    <s v="TSG_MLDL_PF"/>
    <n v="4051295585"/>
    <n v="1115300784"/>
    <s v="736992-295"/>
    <s v="HP ML350pT08 E5-2630v2 LFF JP Svr/Promo"/>
    <n v="1"/>
    <s v="4YOA42014119"/>
    <d v="2015-01-06T17:33:22"/>
    <d v="2015-01-09T00:00:00"/>
    <d v="2015-01-08T16:42:14"/>
    <d v="2015-01-07T09:17:00"/>
    <d v="2015-01-07T16:21:27"/>
    <d v="2015-01-08T14:41:48"/>
    <n v="29.413333333272021"/>
    <n v="47.147777777805459"/>
    <x v="0"/>
    <n v="15.727222222310957"/>
    <n v="2.0072222222224809"/>
    <x v="0"/>
    <m/>
    <m/>
    <x v="0"/>
    <x v="0"/>
    <n v="1"/>
    <m/>
  </r>
  <r>
    <s v="TSG_MLDL_PF"/>
    <n v="4051294443"/>
    <n v="1115280308"/>
    <s v="D2A41A"/>
    <s v="HP DL320e Gen8 E3-1220Lv2 SP1080JP Svr"/>
    <n v="40"/>
    <s v="4YOA42011136"/>
    <d v="2015-01-06T01:20:02"/>
    <d v="2015-01-12T00:00:00"/>
    <d v="2015-01-07T15:11:53"/>
    <d v="2015-01-06T06:52:00"/>
    <d v="2015-01-06T14:06:56"/>
    <d v="2015-01-07T13:02:30"/>
    <n v="30.175000000046566"/>
    <n v="37.86416666675359"/>
    <x v="0"/>
    <n v="5.5327777778729796"/>
    <n v="2.1563888888340443"/>
    <x v="0"/>
    <m/>
    <m/>
    <x v="0"/>
    <x v="0"/>
    <n v="1"/>
    <m/>
  </r>
  <r>
    <s v="TSG_MLDL_PF"/>
    <n v="4051295590"/>
    <n v="1115300788"/>
    <s v="749360-295"/>
    <s v="HP ML350eGen8v2 E5-2420v2 JP Svr/Promo"/>
    <n v="3"/>
    <s v="4YOA42009590"/>
    <d v="2015-01-05T18:11:06"/>
    <d v="2015-01-08T00:00:00"/>
    <d v="2015-01-07T17:50:57"/>
    <d v="2015-01-06T21:30:00"/>
    <d v="2015-01-07T00:10:59"/>
    <d v="2015-01-07T16:01:34"/>
    <n v="18.526111110986676"/>
    <n v="47.664166666741949"/>
    <x v="0"/>
    <n v="27.315000000118744"/>
    <n v="1.8230555556365289"/>
    <x v="0"/>
    <m/>
    <m/>
    <x v="0"/>
    <x v="0"/>
    <n v="1"/>
    <s v="short 139867-005"/>
  </r>
  <r>
    <s v="TSG_MLDL_PF"/>
    <n v="4051295584"/>
    <n v="1115300785"/>
    <s v="768714-295"/>
    <s v="HP DL320e Gen8v2 E3-1241v3 JP Svr/Promo"/>
    <n v="2"/>
    <s v="4YOA42009589"/>
    <d v="2015-01-05T18:10:57"/>
    <d v="2015-01-08T00:00:00"/>
    <d v="2015-01-07T06:12:49"/>
    <d v="2015-01-06T06:52:00"/>
    <d v="2015-01-06T14:47:24"/>
    <d v="2015-01-07T04:40:51"/>
    <n v="21.814166666648816"/>
    <n v="36.03111111104954"/>
    <x v="0"/>
    <n v="12.68416666664416"/>
    <n v="1.5327777777565643"/>
    <x v="0"/>
    <m/>
    <m/>
    <x v="0"/>
    <x v="0"/>
    <n v="1"/>
    <m/>
  </r>
  <r>
    <s v="TSG_MLDL_PF"/>
    <n v="4051295580"/>
    <n v="1115300780"/>
    <s v="G6X08A"/>
    <s v="HP ML350eGen8v2 E5-2403v2 XP1176JP Svr"/>
    <n v="1"/>
    <s v="4YOA42009588"/>
    <d v="2015-01-05T18:10:56"/>
    <d v="2015-01-08T00:00:00"/>
    <d v="2015-01-07T16:46:52"/>
    <d v="2015-01-06T06:52:00"/>
    <d v="2015-01-06T14:49:58"/>
    <d v="2015-01-07T15:00:58"/>
    <n v="32.14944444433786"/>
    <n v="46.598888888955116"/>
    <x v="0"/>
    <n v="12.684444444486871"/>
    <n v="1.7650000001303852"/>
    <x v="0"/>
    <m/>
    <m/>
    <x v="0"/>
    <x v="0"/>
    <n v="1"/>
    <m/>
  </r>
  <r>
    <s v="TSG_MLDL_PF"/>
    <n v="4051294265"/>
    <n v="1115282446"/>
    <s v="675422-291"/>
    <s v="HP DL320e Gen8 E3-1240v2 Hot Plug JP Svr"/>
    <n v="7"/>
    <s v="4YOA41984114"/>
    <d v="2014-12-31T07:10:26"/>
    <d v="2015-01-07T00:00:00"/>
    <d v="2015-01-05T19:54:21"/>
    <d v="2014-12-31T16:23:00"/>
    <d v="2014-12-31T20:44:28"/>
    <d v="2015-01-05T17:37:36"/>
    <n v="121.24333333340473"/>
    <n v="132.73194444441469"/>
    <x v="0"/>
    <n v="9.2094444443355314"/>
    <n v="2.2791666666744277"/>
    <x v="0"/>
    <m/>
    <m/>
    <x v="0"/>
    <x v="0"/>
    <n v="1"/>
    <s v="元旦休息1号到4号"/>
  </r>
  <r>
    <s v="TSG_MLDL_PF"/>
    <n v="4051294444"/>
    <n v="1115280307"/>
    <s v="765819-291"/>
    <s v="HP ML350T09 E5-2609v3 LFF Entry JP Svr"/>
    <n v="1"/>
    <s v="4YOA41976877"/>
    <d v="2014-12-30T00:36:55"/>
    <d v="2015-01-07T00:00:00"/>
    <d v="2015-01-05T14:19:15"/>
    <d v="2014-12-31T12:59:00"/>
    <d v="2014-12-31T14:54:28"/>
    <d v="2015-01-05T12:25:58"/>
    <n v="119.44944444444263"/>
    <n v="157.70555555558531"/>
    <x v="0"/>
    <n v="36.368055555678438"/>
    <n v="1.8880555554642342"/>
    <x v="0"/>
    <m/>
    <m/>
    <x v="0"/>
    <x v="0"/>
    <n v="1"/>
    <s v="short 759515-001+元旦休息1号到4号"/>
  </r>
  <r>
    <s v="TSG_MLDL_PF"/>
    <n v="4051293353"/>
    <n v="1115277677"/>
    <s v="725162-295"/>
    <s v="HP ML310eGen8 v2 E3-1220v3 HP JP Svr/Pro"/>
    <n v="10"/>
    <s v="4YOA41976874"/>
    <d v="2014-12-30T00:36:55"/>
    <d v="2015-01-07T00:00:00"/>
    <d v="2015-01-05T13:47:16"/>
    <d v="2014-12-30T18:10:00"/>
    <d v="2014-12-30T22:19:44"/>
    <d v="2015-01-05T10:45:22"/>
    <n v="136.5894444443984"/>
    <n v="157.17250000010245"/>
    <x v="0"/>
    <n v="17.551388888969086"/>
    <n v="3.0316666667349637"/>
    <x v="0"/>
    <m/>
    <m/>
    <x v="0"/>
    <x v="0"/>
    <n v="1"/>
    <s v="元旦休息1号到4号"/>
  </r>
  <r>
    <s v="TSG_MLDL_PF"/>
    <n v="4051294264"/>
    <n v="1115282445"/>
    <s v="778163-295"/>
    <s v="HP ML350T09 E5-2620v3 SFF JP Svr/Promo"/>
    <n v="15"/>
    <s v="4YOA41972832"/>
    <d v="2014-12-29T13:48:06"/>
    <d v="2015-01-05T00:00:00"/>
    <d v="2015-01-05T13:15:16"/>
    <d v="2014-12-29T22:00:00"/>
    <d v="2014-12-30T00:04:26"/>
    <d v="2015-01-05T12:05:35"/>
    <n v="158.09305555553874"/>
    <n v="167.45277777785668"/>
    <x v="0"/>
    <n v="8.1983333333046176"/>
    <n v="1.1613888890133239"/>
    <x v="0"/>
    <m/>
    <m/>
    <x v="0"/>
    <x v="0"/>
    <n v="1"/>
    <s v="元旦1号到4号休息"/>
  </r>
  <r>
    <s v="TSG_BLD_PF"/>
    <n v="313867126"/>
    <n v="1115265609"/>
    <s v="735151-B21"/>
    <s v="HP BL460c Gen8 E5-v2 10/20Gb CTO Blade"/>
    <n v="18"/>
    <s v="4XNT42006149"/>
    <d v="2015-01-05T02:08:38"/>
    <d v="2015-01-09T00:00:00"/>
    <d v="2015-01-08T13:46:20"/>
    <d v="2015-01-06T16:15:00"/>
    <d v="2015-01-06T16:05:17"/>
    <d v="2015-01-08T12:01:17"/>
    <n v="43.771388888766523"/>
    <n v="83.628333333414048"/>
    <x v="1"/>
    <n v="38.106111111177597"/>
    <n v="1.7508333334699273"/>
    <x v="2"/>
    <s v="Special"/>
    <s v="Others"/>
    <x v="2"/>
    <x v="2"/>
    <n v="1"/>
    <s v="刀片夜班生产"/>
  </r>
  <r>
    <s v="TSG_ENCL_PF"/>
    <n v="313867126"/>
    <n v="1115269616"/>
    <s v="681840-B21"/>
    <s v="HP BLc7000 1PH 2PS 4Fan Trl IC Plat Encl"/>
    <n v="2"/>
    <s v="4XNT41985713"/>
    <d v="2014-12-31T13:16:35"/>
    <d v="2015-01-07T00:00:00"/>
    <d v="2015-01-05T17:31:20"/>
    <d v="2015-01-01T02:04:00"/>
    <d v="2015-01-01T06:49:26"/>
    <d v="2015-01-01T08:45:28"/>
    <n v="6.6911111111403443"/>
    <n v="124.24583333346527"/>
    <x v="0"/>
    <n v="12.790277777763549"/>
    <n v="104.76444444456138"/>
    <x v="0"/>
    <m/>
    <m/>
    <x v="0"/>
    <x v="0"/>
    <n v="1"/>
    <s v="元旦休息1号到4号"/>
  </r>
  <r>
    <s v="TSG_MLDL_PF"/>
    <n v="313884316"/>
    <n v="1115289617"/>
    <s v="704963-B21 #AKM"/>
    <s v="HP DL585 G7 BC NIC CTO Server"/>
    <n v="4"/>
    <s v="4XAT41987108"/>
    <d v="2014-12-31T17:56:35"/>
    <d v="2015-01-07T00:00:00"/>
    <d v="2015-01-06T14:35:33"/>
    <d v="2015-01-05T08:30:00"/>
    <d v="2015-01-05T14:30:45"/>
    <d v="2015-01-06T12:32:30"/>
    <n v="28.041666666744277"/>
    <n v="140.64944444457069"/>
    <x v="2"/>
    <n v="110.55694444442634"/>
    <n v="2.0508333334000781"/>
    <x v="2"/>
    <s v="Special"/>
    <s v="Others"/>
    <x v="2"/>
    <x v="2"/>
    <n v="1"/>
    <m/>
  </r>
  <r>
    <s v="TSG_MLDL_PF"/>
    <n v="313862175"/>
    <n v="1115258490"/>
    <s v="654081-B21 #AKM"/>
    <s v="HP DL360p Gen8 8-SFF CTO Server"/>
    <n v="31"/>
    <s v="4XAT41978447"/>
    <d v="2014-12-30T09:27:03"/>
    <d v="2015-01-06T00:00:00"/>
    <d v="2015-01-06T09:15:30"/>
    <d v="2014-12-31T06:47:00"/>
    <d v="2014-12-31T11:50:41"/>
    <d v="2015-01-01T06:12:33"/>
    <n v="23.425833333400078"/>
    <n v="167.80750000005355"/>
    <x v="2"/>
    <n v="21.332500000018626"/>
    <n v="123.04916666663485"/>
    <x v="3"/>
    <s v="PGI"/>
    <s v="WH"/>
    <x v="3"/>
    <x v="3"/>
    <n v="1"/>
    <m/>
  </r>
  <r>
    <s v="TSG_MLDL_PF"/>
    <n v="313862175"/>
    <n v="1115258479"/>
    <s v="653200-B21 #AKM"/>
    <s v="HP DL380p Gen8 8-SFF CTO Server"/>
    <n v="3"/>
    <s v="4XAT41978447"/>
    <d v="2014-12-30T09:23:01"/>
    <d v="2015-01-06T00:00:00"/>
    <d v="2015-01-06T09:15:30"/>
    <d v="2014-12-31T06:47:00"/>
    <d v="2014-12-31T10:39:23"/>
    <d v="2015-01-01T02:47:57"/>
    <n v="20.015833333425689"/>
    <n v="167.8747222222737"/>
    <x v="2"/>
    <n v="21.399722222238779"/>
    <n v="126.45916666660924"/>
    <x v="3"/>
    <s v="PGI"/>
    <s v="WH"/>
    <x v="3"/>
    <x v="3"/>
    <n v="1"/>
    <m/>
  </r>
  <r>
    <s v="TSG_MLDL_PF"/>
    <n v="313862175"/>
    <n v="1115258481"/>
    <s v="653200-B21 #AKM"/>
    <s v="HP DL380p Gen8 8-SFF CTO Server"/>
    <n v="2"/>
    <s v="4XAT41978447"/>
    <d v="2014-12-30T09:22:01"/>
    <d v="2015-01-06T00:00:00"/>
    <d v="2015-01-06T09:15:31"/>
    <d v="2014-12-31T06:47:00"/>
    <d v="2014-12-31T10:45:33"/>
    <d v="2015-01-01T01:20:45"/>
    <n v="18.5625"/>
    <n v="167.89166666666279"/>
    <x v="2"/>
    <n v="21.41638888878515"/>
    <n v="127.91277777787764"/>
    <x v="3"/>
    <s v="PGI"/>
    <s v="WH"/>
    <x v="3"/>
    <x v="3"/>
    <n v="1"/>
    <m/>
  </r>
  <r>
    <s v="TSG_MLDL_PF"/>
    <n v="313862175"/>
    <n v="1115258483"/>
    <s v="653200-B21 #AKM"/>
    <s v="HP DL380p Gen8 8-SFF CTO Server"/>
    <n v="23"/>
    <s v="4XAT41978447"/>
    <d v="2014-12-30T09:26:02"/>
    <d v="2015-01-06T00:00:00"/>
    <d v="2015-01-06T09:15:30"/>
    <d v="2014-12-31T06:47:00"/>
    <d v="2014-12-31T09:07:40"/>
    <d v="2015-01-06T08:11:12"/>
    <n v="145.40333333343733"/>
    <n v="167.82444444444263"/>
    <x v="0"/>
    <n v="21.349444444407709"/>
    <n v="1.0716666665975936"/>
    <x v="0"/>
    <m/>
    <m/>
    <x v="0"/>
    <x v="0"/>
    <n v="1"/>
    <s v="维修缺622217-002 2015-01-05 10:12:34+元旦休息1号到4号"/>
  </r>
  <r>
    <s v="TSG_MLDL_PF"/>
    <n v="313879740"/>
    <n v="1115282994"/>
    <s v="728551-B21 #AKM"/>
    <s v="HP DL580 Gen8 CTO Svr"/>
    <n v="1"/>
    <s v="4XAT41977204"/>
    <d v="2014-12-30T02:02:58"/>
    <d v="2015-01-07T00:00:00"/>
    <d v="2015-01-06T09:15:30"/>
    <d v="2014-12-31T20:47:00"/>
    <d v="2014-12-31T23:59:51"/>
    <d v="2015-01-06T06:47:31"/>
    <n v="130.008611111145"/>
    <n v="175.20888888894115"/>
    <x v="0"/>
    <n v="42.733888888964429"/>
    <n v="2.466388888831716"/>
    <x v="0"/>
    <m/>
    <m/>
    <x v="0"/>
    <x v="0"/>
    <n v="1"/>
    <s v="short 729446-001 732411-b21@@+元旦休息1号到4号"/>
  </r>
  <r>
    <s v="TSG_MLDL_PF"/>
    <n v="313789976"/>
    <n v="1115157536"/>
    <s v="665552-B21 #AKM"/>
    <s v="HP DL380p Gen8 12-LFF CTO Server"/>
    <n v="5"/>
    <s v="4WUT41974739"/>
    <d v="2014-12-29T18:44:51"/>
    <d v="2015-01-06T00:00:00"/>
    <d v="2015-01-05T08:59:13"/>
    <d v="2014-12-30T14:30:00"/>
    <d v="2014-12-30T21:48:07"/>
    <d v="2014-12-31T18:42:47"/>
    <n v="28.213055555534083"/>
    <n v="158.23944444442168"/>
    <x v="2"/>
    <n v="19.752500000002328"/>
    <n v="110.27388888888527"/>
    <x v="3"/>
    <s v="PGI"/>
    <s v="WH"/>
    <x v="3"/>
    <x v="3"/>
    <n v="1"/>
    <m/>
  </r>
  <r>
    <s v="TSG_MLDL_PF"/>
    <n v="313789976"/>
    <n v="1115157535"/>
    <s v="653200-B21 #AKM"/>
    <s v="HP DL380p Gen8 8-SFF CTO Server"/>
    <n v="5"/>
    <s v="4WUT41974739"/>
    <d v="2014-12-29T18:45:51"/>
    <d v="2015-01-06T00:00:00"/>
    <d v="2015-01-05T08:59:13"/>
    <d v="2014-12-30T10:35:00"/>
    <d v="2014-12-30T15:02:11"/>
    <d v="2014-12-31T07:07:46"/>
    <n v="20.546111111179926"/>
    <n v="158.22277777770068"/>
    <x v="2"/>
    <n v="15.819166666595265"/>
    <n v="121.85749999992549"/>
    <x v="3"/>
    <s v="PGI"/>
    <s v="WH"/>
    <x v="3"/>
    <x v="3"/>
    <n v="1"/>
    <m/>
  </r>
  <r>
    <s v="TSG_MLDL_PF"/>
    <n v="313880032"/>
    <n v="1115282279"/>
    <s v="654081-B21 #AKM"/>
    <s v="HP DL360p Gen8 8-SFF CTO Server"/>
    <n v="1"/>
    <s v="4WHT41981390"/>
    <d v="2014-12-30T18:48:12"/>
    <d v="2015-01-06T00:00:00"/>
    <d v="2015-01-05T08:43:15"/>
    <d v="2014-12-31T12:59:00"/>
    <d v="2014-12-31T15:41:48"/>
    <d v="2015-01-01T07:49:52"/>
    <n v="18.847777777758893"/>
    <n v="133.91749999998137"/>
    <x v="2"/>
    <n v="18.179999999993015"/>
    <n v="96.889722222229466"/>
    <x v="3"/>
    <s v="PGI"/>
    <s v="WH"/>
    <x v="3"/>
    <x v="3"/>
    <n v="1"/>
    <m/>
  </r>
  <r>
    <s v="TSG_MLDL_PF"/>
    <n v="313873097"/>
    <n v="1115276921"/>
    <s v="703586-B21 #AKM"/>
    <s v="HP DL580R07 CN CTO Server"/>
    <n v="3"/>
    <s v="4WHT41975558"/>
    <d v="2014-12-29T19:43:51"/>
    <d v="2015-01-05T00:00:00"/>
    <d v="2015-01-05T08:43:12"/>
    <d v="2014-12-30T14:30:00"/>
    <d v="2014-12-30T21:39:50"/>
    <d v="2014-12-31T21:55:49"/>
    <n v="31.430277777893934"/>
    <n v="156.98916666669538"/>
    <x v="2"/>
    <n v="18.769166666606907"/>
    <n v="106.78972222219454"/>
    <x v="3"/>
    <s v="PGI"/>
    <s v="WH"/>
    <x v="3"/>
    <x v="3"/>
    <n v="1"/>
    <m/>
  </r>
  <r>
    <s v="TSG_MLDL_PF"/>
    <n v="313873097"/>
    <n v="1115276922"/>
    <s v="703586-B21 #AKM"/>
    <s v="HP DL580R07 CN CTO Server"/>
    <n v="9"/>
    <s v="4WHT41975558"/>
    <d v="2014-12-29T19:44:53"/>
    <d v="2015-01-05T00:00:00"/>
    <d v="2015-01-05T08:43:12"/>
    <d v="2014-12-30T14:30:00"/>
    <d v="2014-12-30T21:08:24"/>
    <d v="2015-01-01T08:29:42"/>
    <n v="41.995000000053551"/>
    <n v="156.97194444446359"/>
    <x v="2"/>
    <n v="18.751944444375113"/>
    <n v="96.225000000034925"/>
    <x v="3"/>
    <s v="PGI"/>
    <s v="WH"/>
    <x v="3"/>
    <x v="3"/>
    <n v="1"/>
    <m/>
  </r>
  <r>
    <s v="TSG_MLDL_PF"/>
    <n v="313872662"/>
    <n v="1115273184"/>
    <s v="719064-B21 #AKM"/>
    <s v="HP DL380 Gen9 8SFF CTO Server"/>
    <n v="2"/>
    <s v="4TZT41987096"/>
    <d v="2014-12-31T17:52:35"/>
    <d v="2015-01-07T00:00:00"/>
    <d v="2015-01-06T18:18:39"/>
    <d v="2015-01-05T08:30:00"/>
    <d v="2015-01-05T13:41:51"/>
    <d v="2015-01-06T12:10:29"/>
    <n v="27.674722222262062"/>
    <n v="144.43444444454508"/>
    <x v="2"/>
    <n v="110.62361111113569"/>
    <n v="6.1361111111473292"/>
    <x v="3"/>
    <s v="PGI"/>
    <s v="WH"/>
    <x v="3"/>
    <x v="3"/>
    <n v="1"/>
    <m/>
  </r>
  <r>
    <s v="TSG_MLDL_PF"/>
    <n v="313872662"/>
    <n v="1115273185"/>
    <s v="719064-B21 #AKM"/>
    <s v="HP DL380 Gen9 8SFF CTO Server"/>
    <n v="2"/>
    <s v="4TZT41987096"/>
    <d v="2014-12-31T17:52:36"/>
    <d v="2015-01-07T00:00:00"/>
    <d v="2015-01-06T18:18:39"/>
    <d v="2015-01-05T08:30:00"/>
    <d v="2015-01-05T13:33:00"/>
    <d v="2015-01-06T12:11:06"/>
    <n v="27.684999999997672"/>
    <n v="144.43416666670237"/>
    <x v="2"/>
    <n v="110.62333333329298"/>
    <n v="6.1258333334117197"/>
    <x v="3"/>
    <s v="PGI"/>
    <s v="WH"/>
    <x v="3"/>
    <x v="3"/>
    <n v="1"/>
    <m/>
  </r>
  <r>
    <s v="TSG_MLDL_PF"/>
    <n v="313872662"/>
    <n v="1115273183"/>
    <s v="719064-B21 #AKM"/>
    <s v="HP DL380 Gen9 8SFF CTO Server"/>
    <n v="1"/>
    <s v="4TZT41987096"/>
    <d v="2014-12-31T17:51:35"/>
    <d v="2015-01-07T00:00:00"/>
    <d v="2015-01-06T18:18:39"/>
    <d v="2015-01-05T08:30:00"/>
    <d v="2015-01-05T13:51:52"/>
    <d v="2015-01-06T12:11:25"/>
    <n v="27.690277777786832"/>
    <n v="144.45111111109145"/>
    <x v="2"/>
    <n v="110.64027777768206"/>
    <n v="6.120555555622559"/>
    <x v="3"/>
    <s v="PGI"/>
    <s v="WH"/>
    <x v="3"/>
    <x v="3"/>
    <n v="1"/>
    <m/>
  </r>
  <r>
    <s v="TSG_MLDL_PF"/>
    <n v="313872662"/>
    <n v="1115273182"/>
    <s v="719064-B21 #AKM"/>
    <s v="HP DL380 Gen9 8SFF CTO Server"/>
    <n v="1"/>
    <s v="4TZT41987096"/>
    <d v="2014-12-31T17:51:35"/>
    <d v="2015-01-07T00:00:00"/>
    <d v="2015-01-06T18:18:39"/>
    <d v="2015-01-05T08:30:00"/>
    <d v="2015-01-05T13:25:34"/>
    <d v="2015-01-06T16:25:12"/>
    <n v="31.92000000004191"/>
    <n v="144.45111111109145"/>
    <x v="2"/>
    <n v="110.64027777768206"/>
    <n v="1.8908333333674818"/>
    <x v="2"/>
    <s v="Special"/>
    <s v="Others"/>
    <x v="2"/>
    <x v="2"/>
    <n v="1"/>
    <m/>
  </r>
  <r>
    <s v="TSG_MLDL_PF"/>
    <n v="313899527"/>
    <n v="1115311652"/>
    <s v="755258-B21 #AKM"/>
    <s v="HP DL360 Gen9 8SFF CTO Server"/>
    <n v="3"/>
    <s v="4TJT42020418"/>
    <d v="2015-01-07T19:47:58"/>
    <d v="2015-01-13T00:00:00"/>
    <d v="2015-01-09T17:30:32"/>
    <d v="2015-01-08T10:15:00"/>
    <d v="2015-01-08T12:13:22"/>
    <d v="2015-01-09T15:20:43"/>
    <n v="29.095277777756564"/>
    <n v="45.709444444393739"/>
    <x v="0"/>
    <n v="14.450555555638857"/>
    <n v="2.1636111109983176"/>
    <x v="0"/>
    <m/>
    <m/>
    <x v="0"/>
    <x v="0"/>
    <n v="1"/>
    <s v="包装license打印不出"/>
  </r>
  <r>
    <s v="TSG_MLDL_PF"/>
    <n v="313897089"/>
    <n v="1115308979"/>
    <s v="K8J79A"/>
    <s v="HP DL380e Gen8 E5-2420 TC0914 Spcl Svr"/>
    <n v="100"/>
    <s v="4TJT42018680"/>
    <d v="2015-01-07T14:12:52"/>
    <d v="2015-01-14T00:00:00"/>
    <d v="2015-01-10T17:26:47"/>
    <d v="2015-01-09T00:15:00"/>
    <d v="2015-01-09T02:39:48"/>
    <d v="2015-01-10T15:28:50"/>
    <n v="39.230555555666797"/>
    <n v="75.231944444356486"/>
    <x v="0"/>
    <n v="34.035555555426981"/>
    <n v="1.965833333262708"/>
    <x v="0"/>
    <m/>
    <m/>
    <x v="0"/>
    <x v="0"/>
    <n v="1"/>
    <s v="short 647650-071+CIC"/>
  </r>
  <r>
    <s v="TSG_MLDL_PF"/>
    <n v="313897089"/>
    <n v="1115308929"/>
    <s v="K8J79A"/>
    <s v="HP DL380e Gen8 E5-2420 TC0914 Spcl Svr"/>
    <n v="100"/>
    <s v="4TJT42018679"/>
    <d v="2015-01-07T14:10:43"/>
    <d v="2015-01-14T00:00:00"/>
    <d v="2015-01-09T19:21:33"/>
    <d v="2015-01-07T22:06:00"/>
    <d v="2015-01-08T08:19:16"/>
    <d v="2015-01-09T16:48:03"/>
    <n v="42.700833333365154"/>
    <n v="53.180555555562023"/>
    <x v="0"/>
    <n v="7.9213888887315989"/>
    <n v="2.5583333334652707"/>
    <x v="0"/>
    <m/>
    <m/>
    <x v="0"/>
    <x v="0"/>
    <n v="1"/>
    <s v="CIC"/>
  </r>
  <r>
    <s v="TSG_MLDL_PF"/>
    <n v="313878800"/>
    <n v="1115288225"/>
    <s v="F4M11A"/>
    <s v="HP OEM DL360pGen8 Avaya B008898 Svr"/>
    <n v="40"/>
    <s v="4TJT42014029"/>
    <d v="2015-01-06T17:33:20"/>
    <d v="2015-01-08T00:00:00"/>
    <d v="2015-01-09T03:47:18"/>
    <d v="2015-01-07T14:30:00"/>
    <d v="2015-01-07T14:58:18"/>
    <d v="2015-01-09T01:08:16"/>
    <n v="34.637777777854353"/>
    <n v="58.232777777826414"/>
    <x v="0"/>
    <n v="20.944444444379769"/>
    <n v="2.6505555555922911"/>
    <x v="0"/>
    <m/>
    <m/>
    <x v="0"/>
    <x v="0"/>
    <n v="1"/>
    <m/>
  </r>
  <r>
    <s v="TSG_BLD_PF"/>
    <n v="313871633"/>
    <n v="1115271984"/>
    <s v="735151-B21"/>
    <s v="HP BL460c Gen8 E5-v2 10/20Gb CTO Blade"/>
    <n v="1"/>
    <s v="4TJT41987373"/>
    <d v="2014-12-31T18:57:38"/>
    <d v="2015-01-07T00:00:00"/>
    <d v="2015-01-07T15:11:54"/>
    <d v="2015-01-05T18:01:00"/>
    <d v="2015-01-05T21:28:25"/>
    <d v="2015-01-07T03:09:00"/>
    <n v="33.133333333244082"/>
    <n v="164.23777777771465"/>
    <x v="2"/>
    <n v="119.05611111118924"/>
    <n v="12.048333333281334"/>
    <x v="3"/>
    <s v="PGI"/>
    <s v="WH"/>
    <x v="3"/>
    <x v="3"/>
    <n v="1"/>
    <m/>
  </r>
  <r>
    <s v="TSG_BLD_PF"/>
    <n v="313871633"/>
    <n v="1115271985"/>
    <s v="735151-B21"/>
    <s v="HP BL460c Gen8 E5-v2 10/20Gb CTO Blade"/>
    <n v="1"/>
    <s v="4TJT41987373"/>
    <d v="2014-12-31T18:57:46"/>
    <d v="2015-01-07T00:00:00"/>
    <d v="2015-01-07T15:11:54"/>
    <d v="2015-01-05T18:01:00"/>
    <d v="2015-01-05T21:36:32"/>
    <d v="2015-01-07T13:37:10"/>
    <n v="43.602777777705342"/>
    <n v="164.23555555549683"/>
    <x v="1"/>
    <n v="119.05388888897141"/>
    <n v="1.5788888888200745"/>
    <x v="2"/>
    <s v="Special"/>
    <s v="Others"/>
    <x v="2"/>
    <x v="2"/>
    <n v="1"/>
    <s v="刀片无夜班生产"/>
  </r>
  <r>
    <s v="TSG_MLDL_PF"/>
    <n v="313878709"/>
    <n v="1115273289"/>
    <s v="K8J79A"/>
    <s v="HP DL380e Gen8 E5-2420 TC0914 Spcl Svr"/>
    <n v="3"/>
    <s v="4TJT41977198"/>
    <d v="2014-12-30T02:02:57"/>
    <d v="2015-01-09T00:00:00"/>
    <d v="2015-01-05T18:18:19"/>
    <d v="2014-12-31T12:59:00"/>
    <d v="2014-12-31T15:52:31"/>
    <d v="2015-01-05T16:22:51"/>
    <n v="123.39750000002095"/>
    <n v="160.25611111102626"/>
    <x v="0"/>
    <n v="34.934166666702367"/>
    <n v="1.9244444443029352"/>
    <x v="0"/>
    <m/>
    <m/>
    <x v="0"/>
    <x v="0"/>
    <n v="1"/>
    <s v="short 653241-003+CIC+元旦休息1号到4号"/>
  </r>
  <r>
    <s v="TSG_MLDL_PF"/>
    <n v="313867593"/>
    <n v="1115269924"/>
    <s v="653200-B21 #AKM"/>
    <s v="HP DL380p Gen8 8-SFF CTO Server"/>
    <n v="1"/>
    <s v="4TJT41977156"/>
    <d v="2014-12-30T02:00:58"/>
    <d v="2015-01-07T00:00:00"/>
    <d v="2015-01-05T16:27:19"/>
    <d v="2014-12-31T06:47:00"/>
    <d v="2014-12-31T12:04:23"/>
    <d v="2015-01-05T14:24:15"/>
    <n v="127.62083333346527"/>
    <n v="158.43916666670702"/>
    <x v="0"/>
    <n v="28.767222222173586"/>
    <n v="2.0511111110681668"/>
    <x v="0"/>
    <m/>
    <m/>
    <x v="0"/>
    <x v="0"/>
    <n v="1"/>
    <s v="cic+元旦休息1号到4号"/>
  </r>
  <r>
    <s v="TSG_MLDL_PF"/>
    <n v="313879532"/>
    <n v="1115282550"/>
    <s v="665554-B21 #AKM"/>
    <s v="HP DL380p Gen8 25-SFF CTO Server"/>
    <n v="2"/>
    <s v="4SZT42020130"/>
    <d v="2015-01-07T18:25:48"/>
    <d v="2015-01-12T00:00:00"/>
    <d v="2015-01-09T10:19:31"/>
    <d v="2015-01-08T10:15:00"/>
    <d v="2015-01-08T13:29:12"/>
    <d v="2015-01-09T00:25:45"/>
    <n v="14.179166666523088"/>
    <n v="39.895277777861338"/>
    <x v="0"/>
    <n v="15.8200000001234"/>
    <n v="9.8961111112148501"/>
    <x v="0"/>
    <m/>
    <m/>
    <x v="0"/>
    <x v="0"/>
    <n v="1"/>
    <m/>
  </r>
  <r>
    <s v="TSG_MLDL_PF"/>
    <n v="313879532"/>
    <n v="1115282539"/>
    <s v="665554-B21 #AKM"/>
    <s v="HP DL380p Gen8 25-SFF CTO Server"/>
    <n v="1"/>
    <s v="4SZT42020130"/>
    <d v="2015-01-07T19:43:51"/>
    <d v="2015-01-12T00:00:00"/>
    <d v="2015-01-09T10:19:32"/>
    <d v="2015-01-08T10:15:00"/>
    <d v="2015-01-08T13:23:59"/>
    <d v="2015-01-09T09:21:10"/>
    <n v="23.102777777763549"/>
    <n v="38.594722222303972"/>
    <x v="0"/>
    <n v="14.519166666723322"/>
    <n v="0.97277777781710029"/>
    <x v="0"/>
    <m/>
    <m/>
    <x v="0"/>
    <x v="0"/>
    <n v="1"/>
    <m/>
  </r>
  <r>
    <s v="TSG_MLDL_PF"/>
    <n v="313877589"/>
    <n v="1115282532"/>
    <s v="728551-B21 #AKM"/>
    <s v="HP DL580 Gen8 CTO Svr"/>
    <n v="2"/>
    <s v="4SZT42020129"/>
    <d v="2015-01-07T18:22:55"/>
    <d v="2015-01-12T00:00:00"/>
    <d v="2015-01-09T08:43:21"/>
    <d v="2015-01-08T10:15:00"/>
    <d v="2015-01-08T12:56:00"/>
    <d v="2015-01-09T06:54:45"/>
    <n v="20.662499999860302"/>
    <n v="38.340555555419996"/>
    <x v="0"/>
    <n v="15.868055555562023"/>
    <n v="1.8099999999976717"/>
    <x v="0"/>
    <m/>
    <m/>
    <x v="0"/>
    <x v="0"/>
    <n v="1"/>
    <m/>
  </r>
  <r>
    <s v="TSG_MLDL_PF"/>
    <n v="313886394"/>
    <n v="1115280661"/>
    <s v="669257-B21 #AKM"/>
    <s v="HP DL380e Gen8 12LFF CTO Server"/>
    <n v="40"/>
    <s v="4SZT42019810"/>
    <d v="2015-01-07T17:16:47"/>
    <d v="2015-01-12T00:00:00"/>
    <d v="2015-01-09T19:21:33"/>
    <d v="2015-01-08T10:15:00"/>
    <d v="2015-01-08T14:04:30"/>
    <d v="2015-01-09T17:25:18"/>
    <n v="31.171666666574311"/>
    <n v="50.079444444563705"/>
    <x v="0"/>
    <n v="16.97027777787298"/>
    <n v="1.9375000001164153"/>
    <x v="0"/>
    <m/>
    <m/>
    <x v="0"/>
    <x v="0"/>
    <n v="1"/>
    <s v="CIC"/>
  </r>
  <r>
    <s v="TSG_MLDL_PF"/>
    <n v="313883887"/>
    <n v="1115291884"/>
    <s v="669257-B21 #AKM"/>
    <s v="HP DL380e Gen8 12LFF CTO Server"/>
    <n v="6"/>
    <s v="4SZT42019809"/>
    <d v="2015-01-07T17:08:46"/>
    <d v="2015-01-12T00:00:00"/>
    <d v="2015-01-09T14:02:39"/>
    <d v="2015-01-08T10:15:00"/>
    <d v="2015-01-08T13:14:35"/>
    <d v="2015-01-09T12:08:37"/>
    <n v="25.893611111096106"/>
    <n v="44.89805555564817"/>
    <x v="0"/>
    <n v="17.103888888959773"/>
    <n v="1.9005555555922911"/>
    <x v="0"/>
    <m/>
    <m/>
    <x v="0"/>
    <x v="0"/>
    <n v="1"/>
    <m/>
  </r>
  <r>
    <s v="TSG_BLD_PF"/>
    <n v="313893700"/>
    <n v="1115303273"/>
    <s v="735151-B21"/>
    <s v="HP BL460c Gen8 E5-v2 10/20Gb CTO Blade"/>
    <n v="1"/>
    <s v="4SZT42017930"/>
    <d v="2015-01-07T11:34:46"/>
    <d v="2015-01-12T00:00:00"/>
    <d v="2015-01-09T09:31:23"/>
    <d v="2015-01-08T09:00:00"/>
    <d v="2015-01-08T12:33:54"/>
    <d v="2015-01-09T07:21:05"/>
    <n v="22.351388888899237"/>
    <n v="45.943611111142673"/>
    <x v="0"/>
    <n v="21.42055555555271"/>
    <n v="2.1716666666907258"/>
    <x v="0"/>
    <m/>
    <m/>
    <x v="0"/>
    <x v="0"/>
    <n v="1"/>
    <m/>
  </r>
  <r>
    <s v="TSG_MLDL_PF"/>
    <n v="313890227"/>
    <n v="1115296373"/>
    <s v="669257-B21 #AKM"/>
    <s v="HP DL380e Gen8 12LFF CTO Server"/>
    <n v="1"/>
    <s v="4SZT42014787"/>
    <d v="2015-01-06T19:58:22"/>
    <d v="2015-01-12T00:00:00"/>
    <d v="2015-01-08T03:52:00"/>
    <d v="2015-01-07T09:17:00"/>
    <d v="2015-01-07T13:38:17"/>
    <d v="2015-01-08T02:05:39"/>
    <n v="16.810833333351184"/>
    <n v="31.893888888938818"/>
    <x v="0"/>
    <n v="13.310555555624887"/>
    <n v="1.7724999999627471"/>
    <x v="0"/>
    <m/>
    <m/>
    <x v="0"/>
    <x v="0"/>
    <n v="1"/>
    <m/>
  </r>
  <r>
    <s v="TSG_MLDL_PF"/>
    <n v="313880360"/>
    <n v="1115284852"/>
    <s v="754522-B21 #AKM"/>
    <s v="HP DL160 Gen9 NHP 4LFF CTO Server"/>
    <n v="5"/>
    <s v="4SZT42014030"/>
    <d v="2015-01-06T17:30:29"/>
    <d v="2015-01-09T00:00:00"/>
    <d v="2015-01-10T05:09:38"/>
    <d v="2015-01-07T09:17:00"/>
    <d v="2015-01-07T14:03:27"/>
    <d v="2015-01-10T02:13:56"/>
    <n v="64.948888888873626"/>
    <n v="83.652499999967404"/>
    <x v="1"/>
    <n v="15.775277777749579"/>
    <n v="2.9283333333441988"/>
    <x v="1"/>
    <s v="setting"/>
    <s v="PE"/>
    <x v="1"/>
    <x v="1"/>
    <n v="1"/>
    <s v="包装 issue"/>
  </r>
  <r>
    <s v="TSG_MLDL_PF"/>
    <n v="313883948"/>
    <n v="1115291467"/>
    <s v="K8J79A"/>
    <s v="HP DL380e Gen8 E5-2420 TC0914 Spcl Svr"/>
    <n v="20"/>
    <s v="4SZT42007743"/>
    <d v="2015-01-05T12:54:53"/>
    <d v="2015-01-12T00:00:00"/>
    <d v="2015-01-09T01:08:16"/>
    <d v="2015-01-06T00:12:00"/>
    <d v="2015-01-06T04:05:17"/>
    <d v="2015-01-08T11:13:14"/>
    <n v="59.020555555529427"/>
    <n v="84.223055555659812"/>
    <x v="2"/>
    <n v="11.2852777778171"/>
    <n v="13.917222222313285"/>
    <x v="3"/>
    <s v="PGI"/>
    <s v="WH"/>
    <x v="3"/>
    <x v="3"/>
    <n v="1"/>
    <s v="CIC"/>
  </r>
  <r>
    <s v="TSG_MLDL_PF"/>
    <n v="313883948"/>
    <n v="1115291466"/>
    <s v="K8J79A"/>
    <s v="HP DL380e Gen8 E5-2420 TC0914 Spcl Svr"/>
    <n v="30"/>
    <s v="4SZT42007743"/>
    <d v="2015-01-05T12:56:55"/>
    <d v="2015-01-12T00:00:00"/>
    <d v="2015-01-09T01:08:16"/>
    <d v="2015-01-06T03:12:00"/>
    <d v="2015-01-06T06:54:57"/>
    <d v="2015-01-08T20:19:57"/>
    <n v="65.1325000001234"/>
    <n v="84.189166666707024"/>
    <x v="2"/>
    <n v="14.251388888864312"/>
    <n v="4.8052777777193114"/>
    <x v="3"/>
    <s v="PGI"/>
    <s v="WH"/>
    <x v="3"/>
    <x v="3"/>
    <n v="1"/>
    <s v="CIC"/>
  </r>
  <r>
    <s v="TSG_MLDL_PF"/>
    <n v="313880360"/>
    <n v="1115284853"/>
    <s v="719064-B21 #AKM"/>
    <s v="HP DL380 Gen9 8SFF CTO Server"/>
    <n v="2"/>
    <s v="4SZT42007737"/>
    <d v="2015-01-05T12:51:56"/>
    <d v="2015-01-08T00:00:00"/>
    <d v="2015-01-07T13:05:08"/>
    <d v="2015-01-06T07:00:00"/>
    <d v="2015-01-06T12:35:51"/>
    <d v="2015-01-07T10:28:33"/>
    <n v="27.475833333330229"/>
    <n v="48.220000000088476"/>
    <x v="0"/>
    <n v="18.134444444440305"/>
    <n v="2.6097222223179415"/>
    <x v="0"/>
    <m/>
    <m/>
    <x v="0"/>
    <x v="0"/>
    <n v="1"/>
    <m/>
  </r>
  <r>
    <s v="TSG_MLDL_PF"/>
    <n v="313880360"/>
    <n v="1115284851"/>
    <s v="719061-B21 #AKM"/>
    <s v="HP DL380 Gen9 12LFF CTO Server"/>
    <n v="2"/>
    <s v="4SZT42007736"/>
    <d v="2015-01-05T12:51:56"/>
    <d v="2015-01-08T00:00:00"/>
    <d v="2015-01-07T13:52:53"/>
    <d v="2015-01-06T07:00:00"/>
    <d v="2015-01-06T12:19:49"/>
    <d v="2015-01-07T12:38:30"/>
    <n v="29.641666666720994"/>
    <n v="49.015833333309274"/>
    <x v="0"/>
    <n v="18.134444444440305"/>
    <n v="1.2397222221479751"/>
    <x v="0"/>
    <m/>
    <m/>
    <x v="0"/>
    <x v="0"/>
    <n v="1"/>
    <m/>
  </r>
  <r>
    <s v="TSG_MLDL_PF"/>
    <n v="313883937"/>
    <n v="1115291416"/>
    <s v="H9Q28A"/>
    <s v="HP DL380e G8 E5-2420v2 TC-TS5 Spcl Svr"/>
    <n v="60"/>
    <s v="4SZT42006185"/>
    <d v="2015-01-05T02:19:39"/>
    <d v="2015-01-13T00:00:00"/>
    <d v="2015-01-09T19:21:33"/>
    <d v="2015-01-06T00:12:00"/>
    <d v="2015-01-06T02:18:50"/>
    <d v="2015-01-09T17:29:08"/>
    <n v="89.285555555659812"/>
    <n v="113.03166666679317"/>
    <x v="1"/>
    <n v="21.872499999997672"/>
    <n v="1.8736111111356877"/>
    <x v="1"/>
    <s v="MI Issue"/>
    <s v="Line"/>
    <x v="4"/>
    <x v="4"/>
    <n v="1"/>
    <s v="CIC+6CU5015YA9：MI换硬盘笼后需要FE2重新粘贴标签"/>
  </r>
  <r>
    <s v="TSG_MLDL_PF"/>
    <n v="313881168"/>
    <n v="1115289020"/>
    <s v="754523-B21 #AKM"/>
    <s v="HP DL180 Gen9 8SFF CTO Server"/>
    <n v="2"/>
    <s v="4SZT42006172"/>
    <d v="2015-01-05T02:13:46"/>
    <d v="2015-01-09T00:00:00"/>
    <d v="2015-01-07T13:05:12"/>
    <d v="2015-01-06T07:00:00"/>
    <d v="2015-01-06T11:49:59"/>
    <d v="2015-01-07T10:42:48"/>
    <n v="27.713333333318587"/>
    <n v="58.857222222082783"/>
    <x v="0"/>
    <n v="28.770555555413011"/>
    <n v="2.3733333333511837"/>
    <x v="0"/>
    <m/>
    <m/>
    <x v="0"/>
    <x v="0"/>
    <n v="1"/>
    <m/>
  </r>
  <r>
    <s v="TSG_MLDL_PF"/>
    <n v="313883166"/>
    <n v="1115287605"/>
    <s v="755258-B21 #AKM"/>
    <s v="HP DL360 Gen9 8SFF CTO Server"/>
    <n v="10"/>
    <s v="4SZT41985719"/>
    <d v="2014-12-31T13:17:33"/>
    <d v="2015-01-07T00:00:00"/>
    <d v="2015-01-06T00:05:24"/>
    <d v="2015-01-01T01:14:00"/>
    <d v="2015-01-01T03:43:02"/>
    <d v="2015-01-05T22:34:04"/>
    <n v="117.33444444439374"/>
    <n v="130.79750000004424"/>
    <x v="0"/>
    <n v="11.940833333297633"/>
    <n v="1.5222222223528661"/>
    <x v="0"/>
    <m/>
    <m/>
    <x v="0"/>
    <x v="0"/>
    <n v="1"/>
    <s v="元旦休息1号到4号"/>
  </r>
  <r>
    <s v="TSG_MLDL_PF"/>
    <n v="313875510"/>
    <n v="1115272609"/>
    <s v="653200-B21 #AKM"/>
    <s v="HP DL380p Gen8 8-SFF CTO Server"/>
    <n v="1"/>
    <s v="4SZT41981781"/>
    <d v="2014-12-30T20:13:13"/>
    <d v="2015-01-07T00:00:00"/>
    <d v="2015-01-05T17:31:20"/>
    <d v="2014-12-31T15:35:00"/>
    <d v="2014-12-31T18:48:49"/>
    <d v="2015-01-05T13:36:41"/>
    <n v="118.02805555559462"/>
    <n v="141.30194444447989"/>
    <x v="0"/>
    <n v="19.363055555499159"/>
    <n v="3.9108333333861083"/>
    <x v="0"/>
    <m/>
    <m/>
    <x v="0"/>
    <x v="0"/>
    <n v="1"/>
    <s v="元旦休息1号到4号"/>
  </r>
  <r>
    <s v="TSG_MLDL_PF"/>
    <n v="313875855"/>
    <n v="1115278930"/>
    <s v="653200-B21 #AKM"/>
    <s v="HP DL380p Gen8 8-SFF CTO Server"/>
    <n v="2"/>
    <s v="4SZT41977187"/>
    <d v="2014-12-30T02:01:57"/>
    <d v="2015-01-07T00:00:00"/>
    <d v="2015-01-05T17:31:20"/>
    <d v="2014-12-30T20:30:00"/>
    <d v="2014-12-31T02:08:31"/>
    <d v="2014-12-31T18:42:25"/>
    <n v="22.206944444566034"/>
    <n v="159.4897222223226"/>
    <x v="2"/>
    <n v="18.467499999969732"/>
    <n v="118.81527777778683"/>
    <x v="3"/>
    <s v="PGI"/>
    <s v="WH"/>
    <x v="3"/>
    <x v="3"/>
    <n v="1"/>
    <s v="short 652564-b21@@"/>
  </r>
  <r>
    <s v="TSG_MLDL_PF"/>
    <n v="313875845"/>
    <n v="1115278927"/>
    <s v="653200-B21 #AKM"/>
    <s v="HP DL380p Gen8 8-SFF CTO Server"/>
    <n v="2"/>
    <s v="4SZT41977186"/>
    <d v="2014-12-30T02:02:57"/>
    <d v="2015-01-07T00:00:00"/>
    <d v="2015-01-05T17:31:20"/>
    <d v="2014-12-30T20:30:00"/>
    <d v="2014-12-31T02:47:42"/>
    <d v="2014-12-31T15:29:45"/>
    <n v="18.995833333348855"/>
    <n v="159.4730555556016"/>
    <x v="2"/>
    <n v="18.450833333248738"/>
    <n v="122.02638888900401"/>
    <x v="3"/>
    <s v="PGI"/>
    <s v="WH"/>
    <x v="3"/>
    <x v="3"/>
    <n v="1"/>
    <s v="short 652564-b21@@"/>
  </r>
  <r>
    <s v="TSG_MLDL_PF"/>
    <n v="313875506"/>
    <n v="1115272598"/>
    <s v="G6Z32A"/>
    <s v="HP DL360pHY G8 E5-2630v2 TN2420 Svr"/>
    <n v="63"/>
    <s v="4SZT41977185"/>
    <d v="2014-12-30T02:08:57"/>
    <d v="2015-01-09T00:00:00"/>
    <d v="2015-01-06T12:10:33"/>
    <d v="2014-12-31T09:35:00"/>
    <d v="2014-12-31T12:52:52"/>
    <d v="2015-01-06T10:13:11"/>
    <n v="144.63638888887363"/>
    <n v="178.02666666673031"/>
    <x v="0"/>
    <n v="31.43416666664416"/>
    <n v="1.9561111112125218"/>
    <x v="0"/>
    <m/>
    <m/>
    <x v="0"/>
    <x v="0"/>
    <n v="1"/>
    <s v="short 728714-001+CIC+元旦休息1号到4号"/>
  </r>
  <r>
    <s v="TSG_MLDL_PF"/>
    <n v="313874502"/>
    <n v="1115276127"/>
    <s v="653200-B21 #AKM"/>
    <s v="HP DL380p Gen8 8-SFF CTO Server"/>
    <n v="4"/>
    <s v="4SZT41977184"/>
    <d v="2014-12-30T02:02:56"/>
    <d v="2015-01-07T00:00:00"/>
    <d v="2015-01-05T17:31:20"/>
    <d v="2014-12-30T20:30:00"/>
    <d v="2014-12-31T03:25:32"/>
    <d v="2014-12-31T22:47:34"/>
    <n v="26.292777777824085"/>
    <n v="159.47333333344432"/>
    <x v="2"/>
    <n v="18.45111111109145"/>
    <n v="114.72944444452878"/>
    <x v="3"/>
    <s v="PGI"/>
    <s v="WH"/>
    <x v="3"/>
    <x v="3"/>
    <n v="1"/>
    <s v="short 652564-b21@@"/>
  </r>
  <r>
    <s v="TSG_MLDL_PF"/>
    <n v="313872500"/>
    <n v="1115276123"/>
    <s v="653200-B21 #AKM"/>
    <s v="HP DL380p Gen8 8-SFF CTO Server"/>
    <n v="1"/>
    <s v="4SZT41977178"/>
    <d v="2014-12-30T02:01:57"/>
    <d v="2015-01-07T00:00:00"/>
    <d v="2015-01-05T17:31:20"/>
    <d v="2014-12-30T20:30:00"/>
    <d v="2014-12-31T04:06:13"/>
    <d v="2014-12-31T19:50:35"/>
    <n v="23.343055555655155"/>
    <n v="159.4897222223226"/>
    <x v="2"/>
    <n v="18.467499999969732"/>
    <n v="117.67916666669771"/>
    <x v="3"/>
    <s v="PGI"/>
    <s v="WH"/>
    <x v="3"/>
    <x v="3"/>
    <n v="1"/>
    <s v="short 652564-b21@@"/>
  </r>
  <r>
    <s v="TSG_MLDL_PF"/>
    <n v="313871667"/>
    <n v="1115273053"/>
    <s v="653200-B21 #AKM"/>
    <s v="HP DL380p Gen8 8-SFF CTO Server"/>
    <n v="2"/>
    <s v="4SZT41977173"/>
    <d v="2014-12-30T02:02:56"/>
    <d v="2015-01-07T00:00:00"/>
    <d v="2015-01-05T15:23:37"/>
    <d v="2014-12-30T20:30:00"/>
    <d v="2014-12-31T01:40:34"/>
    <d v="2014-12-31T20:03:52"/>
    <n v="23.56444444443332"/>
    <n v="157.34472222224576"/>
    <x v="2"/>
    <n v="18.45111111109145"/>
    <n v="115.32916666672099"/>
    <x v="3"/>
    <s v="PGI"/>
    <s v="WH"/>
    <x v="3"/>
    <x v="3"/>
    <n v="1"/>
    <s v="short 652564-b21@@"/>
  </r>
  <r>
    <s v="TSG_MLDL_PF"/>
    <n v="313871667"/>
    <n v="1115273055"/>
    <s v="653200-B21 #AKM"/>
    <s v="HP DL380p Gen8 8-SFF CTO Server"/>
    <n v="2"/>
    <s v="4SZT41977173"/>
    <d v="2014-12-30T02:01:57"/>
    <d v="2015-01-07T00:00:00"/>
    <d v="2015-01-05T15:23:37"/>
    <d v="2014-12-30T20:30:00"/>
    <d v="2014-12-31T01:56:13"/>
    <d v="2014-12-31T17:57:15"/>
    <n v="21.454166666662786"/>
    <n v="157.36111111112405"/>
    <x v="2"/>
    <n v="18.467499999969732"/>
    <n v="117.43944444449153"/>
    <x v="3"/>
    <s v="PGI"/>
    <s v="WH"/>
    <x v="3"/>
    <x v="3"/>
    <n v="1"/>
    <s v="short 652564-b21@@"/>
  </r>
  <r>
    <s v="TSG_MLDL_PF"/>
    <n v="313871667"/>
    <n v="1115273051"/>
    <s v="653200-B21 #AKM"/>
    <s v="HP DL380p Gen8 8-SFF CTO Server"/>
    <n v="1"/>
    <s v="4SZT41977173"/>
    <d v="2014-12-30T02:00:57"/>
    <d v="2015-01-07T00:00:00"/>
    <d v="2015-01-05T15:23:37"/>
    <d v="2014-12-30T20:30:00"/>
    <d v="2014-12-31T01:45:10"/>
    <d v="2014-12-31T16:25:45"/>
    <n v="19.929166666755918"/>
    <n v="157.37777777784504"/>
    <x v="2"/>
    <n v="18.484166666690726"/>
    <n v="118.9644444443984"/>
    <x v="3"/>
    <s v="PGI"/>
    <s v="WH"/>
    <x v="3"/>
    <x v="3"/>
    <n v="1"/>
    <s v="short 652564-b21@@"/>
  </r>
  <r>
    <s v="TSG_MLDL_PF"/>
    <n v="313871667"/>
    <n v="1115273049"/>
    <s v="654081-B21 #AKM"/>
    <s v="HP DL360p Gen8 8-SFF CTO Server"/>
    <n v="3"/>
    <s v="4SZT41977173"/>
    <d v="2014-12-30T02:01:58"/>
    <d v="2015-01-07T00:00:00"/>
    <d v="2015-01-05T15:23:37"/>
    <d v="2014-12-30T20:30:00"/>
    <d v="2014-12-31T01:51:17"/>
    <d v="2014-12-31T16:25:15"/>
    <n v="19.920833333395422"/>
    <n v="157.36083333328133"/>
    <x v="2"/>
    <n v="18.46722222212702"/>
    <n v="118.97277777775889"/>
    <x v="3"/>
    <s v="PGI"/>
    <s v="WH"/>
    <x v="3"/>
    <x v="3"/>
    <n v="1"/>
    <s v="short 652564-b21@@"/>
  </r>
  <r>
    <s v="TSG_MLDL_PF"/>
    <n v="313871667"/>
    <n v="1115273059"/>
    <s v="653200-B21 #AKM"/>
    <s v="HP DL380p Gen8 8-SFF CTO Server"/>
    <n v="1"/>
    <s v="4SZT41977173"/>
    <d v="2014-12-30T02:01:57"/>
    <d v="2015-01-07T00:00:00"/>
    <d v="2015-01-05T15:23:37"/>
    <d v="2014-12-30T20:30:00"/>
    <d v="2014-12-31T01:46:49"/>
    <d v="2015-01-05T12:26:58"/>
    <n v="135.94944444444263"/>
    <n v="157.36111111112405"/>
    <x v="0"/>
    <n v="18.467499999969732"/>
    <n v="2.9441666667116806"/>
    <x v="0"/>
    <m/>
    <m/>
    <x v="0"/>
    <x v="0"/>
    <n v="1"/>
    <s v="short 652564-b21@@ 装配 issue 2015-1-1+元旦休息1号到4号"/>
  </r>
  <r>
    <s v="TSG_MLDL_PF"/>
    <n v="313871667"/>
    <n v="1115273057"/>
    <s v="653200-B21 #AKM"/>
    <s v="HP DL380p Gen8 8-SFF CTO Server"/>
    <n v="2"/>
    <s v="4SZT41977173"/>
    <d v="2014-12-30T02:01:58"/>
    <d v="2015-01-07T00:00:00"/>
    <d v="2015-01-05T15:23:37"/>
    <d v="2014-12-30T18:10:00"/>
    <d v="2014-12-30T23:56:32"/>
    <d v="2014-12-31T13:01:27"/>
    <n v="18.857499999983702"/>
    <n v="157.36083333328133"/>
    <x v="2"/>
    <n v="16.133888888871297"/>
    <n v="122.36944444442634"/>
    <x v="3"/>
    <s v="PGI"/>
    <s v="WH"/>
    <x v="3"/>
    <x v="3"/>
    <n v="1"/>
    <m/>
  </r>
  <r>
    <s v="TSG_MLDL_PF"/>
    <n v="313870454"/>
    <n v="1115270410"/>
    <s v="654081-B21 #AKM"/>
    <s v="HP DL360p Gen8 8-SFF CTO Server"/>
    <n v="1"/>
    <s v="4SZT41977168"/>
    <d v="2014-12-30T02:00:57"/>
    <d v="2015-01-07T00:00:00"/>
    <d v="2015-01-05T17:31:19"/>
    <d v="2014-12-30T20:30:00"/>
    <d v="2014-12-31T02:37:47"/>
    <d v="2014-12-31T21:31:44"/>
    <n v="25.028888888948131"/>
    <n v="159.50611111120088"/>
    <x v="2"/>
    <n v="18.484166666690726"/>
    <n v="115.99305555556202"/>
    <x v="3"/>
    <s v="PGI"/>
    <s v="WH"/>
    <x v="3"/>
    <x v="3"/>
    <n v="1"/>
    <s v="short 652564-b21@@"/>
  </r>
  <r>
    <s v="TSG_MLDL_PF"/>
    <n v="313870454"/>
    <n v="1115270409"/>
    <s v="653200-B21 #AKM"/>
    <s v="HP DL380p Gen8 8-SFF CTO Server"/>
    <n v="1"/>
    <s v="4SZT41977168"/>
    <d v="2014-12-30T02:00:57"/>
    <d v="2015-01-07T00:00:00"/>
    <d v="2015-01-05T17:31:19"/>
    <d v="2014-12-30T20:30:00"/>
    <d v="2014-12-31T03:03:11"/>
    <d v="2014-12-31T18:14:49"/>
    <n v="21.746944444428664"/>
    <n v="159.50611111120088"/>
    <x v="2"/>
    <n v="18.484166666690726"/>
    <n v="119.27500000008149"/>
    <x v="3"/>
    <s v="PGI"/>
    <s v="WH"/>
    <x v="3"/>
    <x v="3"/>
    <n v="1"/>
    <s v="short 652564-b21@@"/>
  </r>
  <r>
    <s v="TSG_MLDL_PF"/>
    <n v="313860730"/>
    <n v="1115254649"/>
    <s v="G6Z30A"/>
    <s v="HP DL380p E52620 Tencent TN0114 Spcl Svr"/>
    <n v="48"/>
    <s v="4SZT41977135"/>
    <d v="2014-12-30T01:57:57"/>
    <d v="2015-01-09T00:00:00"/>
    <d v="2015-01-05T19:54:21"/>
    <d v="2014-12-31T09:35:00"/>
    <d v="2014-12-31T12:54:42"/>
    <d v="2015-01-05T17:03:44"/>
    <n v="127.47888888884336"/>
    <n v="161.94000000011874"/>
    <x v="0"/>
    <n v="31.617500000051223"/>
    <n v="2.8436111112241633"/>
    <x v="0"/>
    <m/>
    <m/>
    <x v="0"/>
    <x v="0"/>
    <n v="1"/>
    <s v="short 728714-001+CIC+元旦休息1号到4号"/>
  </r>
  <r>
    <s v="TSG_MLDL_PF"/>
    <n v="313860729"/>
    <n v="1115254648"/>
    <s v="G6Z30A"/>
    <s v="HP DL380p E52620 Tencent TN0114 Spcl Svr"/>
    <n v="21"/>
    <s v="4SZT41977134"/>
    <d v="2014-12-30T01:52:57"/>
    <d v="2015-01-09T00:00:00"/>
    <d v="2015-01-05T19:54:20"/>
    <d v="2014-12-31T06:47:00"/>
    <d v="2014-12-31T09:39:55"/>
    <d v="2015-01-05T18:00:31"/>
    <n v="131.22527777776122"/>
    <n v="162.02305555553176"/>
    <x v="0"/>
    <n v="28.90083333326038"/>
    <n v="1.8969444445101544"/>
    <x v="0"/>
    <m/>
    <m/>
    <x v="0"/>
    <x v="0"/>
    <n v="1"/>
    <s v="cic+元旦休息1号到4号"/>
  </r>
  <r>
    <s v="TSG_MLDL_PF"/>
    <n v="313843381"/>
    <n v="1115232461"/>
    <s v="728551-B21 #AKM"/>
    <s v="HP DL580 Gen8 CTO Svr"/>
    <n v="4"/>
    <s v="4SZT41977126"/>
    <d v="2014-12-30T01:48:56"/>
    <d v="2015-01-07T00:00:00"/>
    <d v="2015-01-06T10:51:33"/>
    <d v="2014-12-31T20:47:00"/>
    <d v="2015-01-01T00:04:25"/>
    <d v="2015-01-06T09:38:34"/>
    <n v="132.85944444453344"/>
    <n v="177.04361111100297"/>
    <x v="0"/>
    <n v="42.967777777696028"/>
    <n v="1.2163888887735084"/>
    <x v="0"/>
    <m/>
    <m/>
    <x v="0"/>
    <x v="0"/>
    <n v="1"/>
    <s v="short 729446-001 652564-b21@@ 732411-b21@@+元旦休息1号到4号"/>
  </r>
  <r>
    <s v="TSG_MLDL_PF"/>
    <n v="313843381"/>
    <n v="1115232460"/>
    <s v="719064-B21 #AKM"/>
    <s v="HP DL380 Gen9 8SFF CTO Server"/>
    <n v="15"/>
    <s v="4SZT41975529"/>
    <d v="2014-12-29T19:48:52"/>
    <d v="2015-01-06T00:00:00"/>
    <d v="2015-01-05T08:59:13"/>
    <d v="2014-12-30T14:30:00"/>
    <d v="2014-12-30T20:39:59"/>
    <d v="2014-12-31T19:59:34"/>
    <n v="29.492777777777519"/>
    <n v="157.17249999992782"/>
    <x v="2"/>
    <n v="18.685555555508472"/>
    <n v="108.99416666664183"/>
    <x v="3"/>
    <s v="PGI"/>
    <s v="WH"/>
    <x v="3"/>
    <x v="3"/>
    <n v="1"/>
    <m/>
  </r>
  <r>
    <s v="TSG_MLDL_PF"/>
    <n v="313824321"/>
    <n v="1115203663"/>
    <s v="665553-B21 #AKM"/>
    <s v="HP DL380p Gen8 8-LFF CTO Server"/>
    <n v="6"/>
    <s v="4SUT42011078"/>
    <d v="2015-01-06T01:02:02"/>
    <d v="2015-01-12T00:00:00"/>
    <d v="2015-01-07T19:09:53"/>
    <d v="2015-01-06T21:30:00"/>
    <d v="2015-01-06T22:38:27"/>
    <d v="2015-01-07T16:53:06"/>
    <n v="19.385000000009313"/>
    <n v="42.130833333358169"/>
    <x v="0"/>
    <n v="20.466111111163627"/>
    <n v="2.279722222185228"/>
    <x v="0"/>
    <m/>
    <m/>
    <x v="0"/>
    <x v="0"/>
    <n v="1"/>
    <s v="short 665249-B21@@"/>
  </r>
  <r>
    <s v="TSG_MLDL_PF"/>
    <n v="313872754"/>
    <n v="1115274369"/>
    <s v="653200-B21 #AKM"/>
    <s v="HP DL380p Gen8 8-SFF CTO Server"/>
    <n v="1"/>
    <s v="4SUT41977180"/>
    <d v="2014-12-30T02:01:58"/>
    <d v="2015-01-07T00:00:00"/>
    <d v="2015-01-05T08:43:16"/>
    <d v="2014-12-30T20:30:00"/>
    <d v="2014-12-31T04:01:56"/>
    <d v="2015-01-01T08:26:18"/>
    <n v="35.93833333341172"/>
    <n v="150.6883333332371"/>
    <x v="2"/>
    <n v="18.46722222212702"/>
    <n v="96.282777777698357"/>
    <x v="3"/>
    <s v="PGI"/>
    <s v="WH"/>
    <x v="3"/>
    <x v="3"/>
    <n v="1"/>
    <s v="short 652564-b21@@"/>
  </r>
  <r>
    <s v="TSG_MLDL_PF"/>
    <n v="313871096"/>
    <n v="1115269907"/>
    <s v="728551-B21 #AKM"/>
    <s v="HP DL580 Gen8 CTO Svr"/>
    <n v="1"/>
    <s v="4SUT41977170"/>
    <d v="2014-12-30T02:00:58"/>
    <d v="2015-01-07T00:00:00"/>
    <d v="2015-01-06T05:55:28"/>
    <d v="2014-12-31T20:47:00"/>
    <d v="2015-01-01T00:25:27"/>
    <d v="2015-01-06T04:19:43"/>
    <n v="127.54527777771"/>
    <n v="171.90833333332557"/>
    <x v="0"/>
    <n v="42.767222222231794"/>
    <n v="1.59583333338378"/>
    <x v="0"/>
    <m/>
    <m/>
    <x v="0"/>
    <x v="0"/>
    <n v="1"/>
    <s v="short 729447-001 732411-b21@@/728549-001+元旦休息1号到4号"/>
  </r>
  <r>
    <s v="TSG_BLD_PF"/>
    <n v="313877369"/>
    <n v="1115280086"/>
    <s v="735151-B21"/>
    <s v="HP BL460c Gen8 E5-v2 10/20Gb CTO Blade"/>
    <n v="1"/>
    <s v="4SUT41975571"/>
    <d v="2014-12-29T19:45:52"/>
    <d v="2015-01-06T00:00:00"/>
    <d v="2015-01-05T12:43:18"/>
    <d v="2014-12-31T08:49:00"/>
    <d v="2014-12-31T10:29:00"/>
    <d v="2015-01-01T01:43:30"/>
    <n v="16.908333333441988"/>
    <n v="160.95722222223412"/>
    <x v="2"/>
    <n v="37.052222222147975"/>
    <n v="106.99666666664416"/>
    <x v="4"/>
    <s v="shortage"/>
    <s v="Buyer"/>
    <x v="5"/>
    <x v="5"/>
    <n v="1"/>
    <s v="short 652564-b21@@"/>
  </r>
  <r>
    <s v="TSG_MLDL_PF"/>
    <n v="313877369"/>
    <n v="1115280085"/>
    <s v="653200-B21 #AKM"/>
    <s v="HP DL380p Gen8 8-SFF CTO Server"/>
    <n v="1"/>
    <s v="4SUT41975571"/>
    <d v="2014-12-29T19:45:51"/>
    <d v="2015-01-06T00:00:00"/>
    <d v="2015-01-05T12:43:18"/>
    <d v="2014-12-30T10:35:00"/>
    <d v="2014-12-30T14:43:01"/>
    <d v="2014-12-31T06:26:52"/>
    <n v="19.864444444596302"/>
    <n v="160.95750000007683"/>
    <x v="2"/>
    <n v="14.819166666653473"/>
    <n v="126.27388888882706"/>
    <x v="3"/>
    <s v="Group order"/>
    <s v="WH"/>
    <x v="5"/>
    <x v="5"/>
    <n v="1"/>
    <m/>
  </r>
  <r>
    <s v="TSG_MLDL_PF"/>
    <n v="313902837"/>
    <n v="1115313497"/>
    <s v="728551-B21 #AKM"/>
    <s v="HP DL580 Gen8 CTO Svr"/>
    <n v="2"/>
    <s v="4SJT42025365"/>
    <d v="2015-01-08T17:55:23"/>
    <d v="2015-01-13T00:00:00"/>
    <d v="2015-01-10T19:32:49"/>
    <d v="2015-01-09T15:38:00"/>
    <d v="2015-01-09T23:49:42"/>
    <d v="2015-01-10T15:13:29"/>
    <n v="23.591388888889924"/>
    <n v="49.623888888861984"/>
    <x v="0"/>
    <n v="21.710277777747251"/>
    <n v="4.3222222222248092"/>
    <x v="0"/>
    <m/>
    <m/>
    <x v="0"/>
    <x v="0"/>
    <n v="1"/>
    <m/>
  </r>
  <r>
    <s v="TSG_MLDL_PF"/>
    <n v="313902837"/>
    <n v="1115313498"/>
    <s v="728551-B21 #AKM"/>
    <s v="HP DL580 Gen8 CTO Svr"/>
    <n v="7"/>
    <s v="4SJT42025365"/>
    <d v="2015-01-08T17:56:29"/>
    <d v="2015-01-13T00:00:00"/>
    <d v="2015-01-10T19:32:49"/>
    <d v="2015-01-09T15:38:00"/>
    <d v="2015-01-10T01:43:29"/>
    <d v="2015-01-10T17:39:57"/>
    <n v="26.03249999997206"/>
    <n v="49.605555555608589"/>
    <x v="0"/>
    <n v="21.691944444493856"/>
    <n v="1.8811111111426726"/>
    <x v="0"/>
    <m/>
    <m/>
    <x v="0"/>
    <x v="0"/>
    <n v="1"/>
    <m/>
  </r>
  <r>
    <s v="TSG_MLTPRT_PF"/>
    <n v="313882433"/>
    <n v="1115285375"/>
    <s v="663600-B21"/>
    <s v="HP 1xSL4500 Chassis"/>
    <n v="1"/>
    <s v="4SJT42009989"/>
    <d v="2015-01-05T20:30:58"/>
    <d v="2015-01-12T00:00:00"/>
    <d v="2015-01-08T21:43:16"/>
    <d v="2015-01-06T06:52:00"/>
    <d v="2015-01-07T10:23:13"/>
    <d v="2015-01-08T18:43:27"/>
    <n v="59.85750000004191"/>
    <n v="73.205000000016298"/>
    <x v="0"/>
    <n v="10.350555555545725"/>
    <n v="2.9969444444286637"/>
    <x v="0"/>
    <m/>
    <m/>
    <x v="0"/>
    <x v="0"/>
    <n v="1"/>
    <m/>
  </r>
  <r>
    <s v="TSG_MLTPRT_PF"/>
    <n v="313882432"/>
    <n v="1115266799"/>
    <s v="663600-B21"/>
    <s v="HP 1xSL4500 Chassis"/>
    <n v="1"/>
    <s v="4SJT42009988"/>
    <d v="2015-01-05T20:30:58"/>
    <d v="2015-01-12T00:00:00"/>
    <d v="2015-01-08T21:43:16"/>
    <d v="2015-01-06T06:52:00"/>
    <d v="2015-01-07T10:22:08"/>
    <d v="2015-01-08T18:40:22"/>
    <n v="59.806111111014616"/>
    <n v="73.205000000016298"/>
    <x v="0"/>
    <n v="10.350555555545725"/>
    <n v="3.0483333334559575"/>
    <x v="0"/>
    <m/>
    <m/>
    <x v="0"/>
    <x v="0"/>
    <n v="1"/>
    <m/>
  </r>
  <r>
    <s v="TSG_MLTPRT_PF"/>
    <n v="313882034"/>
    <n v="1115283390"/>
    <s v="663600-B21"/>
    <s v="HP 1xSL4500 Chassis"/>
    <n v="1"/>
    <s v="4SJT42009987"/>
    <d v="2015-01-05T20:30:58"/>
    <d v="2015-01-12T00:00:00"/>
    <d v="2015-01-08T21:43:16"/>
    <d v="2015-01-06T06:52:00"/>
    <d v="2015-01-07T12:30:09"/>
    <d v="2015-01-08T18:42:50"/>
    <n v="59.847222222131677"/>
    <n v="73.205000000016298"/>
    <x v="0"/>
    <n v="10.350555555545725"/>
    <n v="3.0072222223388962"/>
    <x v="0"/>
    <m/>
    <m/>
    <x v="0"/>
    <x v="0"/>
    <n v="1"/>
    <m/>
  </r>
  <r>
    <s v="TSG_MLTPRT_PF"/>
    <n v="313882033"/>
    <n v="1115286071"/>
    <s v="663600-B21"/>
    <s v="HP 1xSL4500 Chassis"/>
    <n v="1"/>
    <s v="4SJT42009986"/>
    <d v="2015-01-05T20:30:58"/>
    <d v="2015-01-12T00:00:00"/>
    <d v="2015-01-08T21:43:15"/>
    <d v="2015-01-06T06:52:00"/>
    <d v="2015-01-07T12:31:20"/>
    <d v="2015-01-08T18:42:28"/>
    <n v="59.841111111163627"/>
    <n v="73.204722222173586"/>
    <x v="0"/>
    <n v="10.350555555545725"/>
    <n v="3.0130555554642342"/>
    <x v="0"/>
    <m/>
    <m/>
    <x v="0"/>
    <x v="0"/>
    <n v="1"/>
    <m/>
  </r>
  <r>
    <s v="TSG_MLTPRT_PF"/>
    <n v="313882820"/>
    <n v="1115286951"/>
    <s v="663600-B21"/>
    <s v="HP 1xSL4500 Chassis"/>
    <n v="1"/>
    <s v="4SJT41990644"/>
    <d v="2015-01-01T09:53:48"/>
    <d v="2015-01-09T00:00:00"/>
    <d v="2015-01-08T13:46:20"/>
    <d v="2015-01-05T10:52:00"/>
    <d v="2015-01-06T19:22:17"/>
    <d v="2015-01-08T12:12:05"/>
    <n v="73.334722222178243"/>
    <n v="171.87555555556901"/>
    <x v="2"/>
    <n v="96.969999999913853"/>
    <n v="1.5708333334769122"/>
    <x v="2"/>
    <s v="Special"/>
    <s v="Others"/>
    <x v="2"/>
    <x v="2"/>
    <n v="1"/>
    <m/>
  </r>
  <r>
    <s v="TSG_MLTPRT_PF"/>
    <n v="313882721"/>
    <n v="1115282674"/>
    <s v="663600-B21"/>
    <s v="HP 1xSL4500 Chassis"/>
    <n v="1"/>
    <s v="4SJT41990643"/>
    <d v="2015-01-01T09:54:58"/>
    <d v="2015-01-09T00:00:00"/>
    <d v="2015-01-09T19:21:33"/>
    <d v="2015-01-05T10:52:00"/>
    <d v="2015-01-06T19:36:52"/>
    <d v="2015-01-09T17:12:55"/>
    <n v="102.3486111110542"/>
    <n v="201.44305555557366"/>
    <x v="1"/>
    <n v="96.950555555464234"/>
    <n v="2.1438888890552334"/>
    <x v="1"/>
    <s v="Diags issue"/>
    <s v="TE"/>
    <x v="6"/>
    <x v="6"/>
    <n v="1"/>
    <s v="FW issue(931902) 2015/1/7 (周三) 0:41"/>
  </r>
  <r>
    <s v="TSG_MLTPRT_PF"/>
    <n v="313882720"/>
    <n v="1115282144"/>
    <s v="663600-B21"/>
    <s v="HP 1xSL4500 Chassis"/>
    <n v="1"/>
    <s v="4SJT41990642"/>
    <d v="2015-01-01T09:54:59"/>
    <d v="2015-01-09T00:00:00"/>
    <d v="2015-01-08T21:43:16"/>
    <d v="2015-01-05T10:52:00"/>
    <d v="2015-01-06T19:37:41"/>
    <d v="2015-01-08T18:46:21"/>
    <n v="79.905833333381452"/>
    <n v="179.80472222232493"/>
    <x v="2"/>
    <n v="96.950277777796146"/>
    <n v="2.9486111111473292"/>
    <x v="2"/>
    <s v="Special"/>
    <s v="Others"/>
    <x v="2"/>
    <x v="2"/>
    <n v="1"/>
    <s v="FW issue(931902) 2015/1/7 (周三) 0:41"/>
  </r>
  <r>
    <s v="TSG_MLTPRT_PF"/>
    <n v="313882718"/>
    <n v="1115286542"/>
    <s v="663600-B21"/>
    <s v="HP 1xSL4500 Chassis"/>
    <n v="1"/>
    <s v="4SJT41990641"/>
    <d v="2015-01-01T09:54:58"/>
    <d v="2015-01-09T00:00:00"/>
    <d v="2015-01-07T22:36:08"/>
    <d v="2015-01-05T10:52:00"/>
    <d v="2015-01-06T18:52:34"/>
    <d v="2015-01-07T18:56:29"/>
    <n v="56.074722222285345"/>
    <n v="156.68611111101927"/>
    <x v="2"/>
    <n v="96.950555555464234"/>
    <n v="3.660833333269693"/>
    <x v="2"/>
    <s v="Special"/>
    <s v="Others"/>
    <x v="2"/>
    <x v="2"/>
    <n v="1"/>
    <s v="元旦1号到4号休息"/>
  </r>
  <r>
    <s v="TSG_MLTPRT_PF"/>
    <n v="313882717"/>
    <n v="1115286710"/>
    <s v="663600-B21"/>
    <s v="HP 1xSL4500 Chassis"/>
    <n v="1"/>
    <s v="4SJT41990640"/>
    <d v="2015-01-01T09:53:49"/>
    <d v="2015-01-09T00:00:00"/>
    <d v="2015-01-08T14:18:09"/>
    <d v="2015-01-05T10:52:00"/>
    <d v="2015-01-06T19:33:14"/>
    <d v="2015-01-08T12:07:50"/>
    <n v="73.263888888875954"/>
    <n v="172.40555555565516"/>
    <x v="2"/>
    <n v="96.969722222245764"/>
    <n v="2.1719444445334375"/>
    <x v="2"/>
    <s v="Special"/>
    <s v="Others"/>
    <x v="2"/>
    <x v="2"/>
    <n v="1"/>
    <m/>
  </r>
  <r>
    <s v="TSG_MLTPRT_PF"/>
    <n v="313882716"/>
    <n v="1115286952"/>
    <s v="663600-B21"/>
    <s v="HP 1xSL4500 Chassis"/>
    <n v="1"/>
    <s v="4SJT41990639"/>
    <d v="2015-01-01T09:54:49"/>
    <d v="2015-01-09T00:00:00"/>
    <d v="2015-01-07T20:45:01"/>
    <d v="2015-01-05T10:52:00"/>
    <d v="2015-01-06T18:51:36"/>
    <d v="2015-01-07T18:37:16"/>
    <n v="55.754444444552064"/>
    <n v="154.83666666661156"/>
    <x v="2"/>
    <n v="96.95305555552477"/>
    <n v="2.1291666665347293"/>
    <x v="2"/>
    <s v="Special"/>
    <s v="Others"/>
    <x v="2"/>
    <x v="2"/>
    <n v="1"/>
    <s v="元旦1号到4号休息"/>
  </r>
  <r>
    <s v="TSG_MLTPRT_PF"/>
    <n v="313882715"/>
    <n v="1115285878"/>
    <s v="663600-B21"/>
    <s v="HP 1xSL4500 Chassis"/>
    <n v="1"/>
    <s v="4SJT41990638"/>
    <d v="2015-01-01T09:53:48"/>
    <d v="2015-01-09T00:00:00"/>
    <d v="2015-01-08T13:46:20"/>
    <d v="2015-01-05T10:52:00"/>
    <d v="2015-01-06T18:17:58"/>
    <d v="2015-01-08T12:08:41"/>
    <n v="73.278055555536412"/>
    <n v="171.87555555556901"/>
    <x v="2"/>
    <n v="96.969999999913853"/>
    <n v="1.6275000001187436"/>
    <x v="2"/>
    <s v="Special"/>
    <s v="Others"/>
    <x v="2"/>
    <x v="2"/>
    <n v="1"/>
    <m/>
  </r>
  <r>
    <s v="TSG_MLTPRT_PF"/>
    <n v="313882714"/>
    <n v="1115287326"/>
    <s v="663600-B21"/>
    <s v="HP 1xSL4500 Chassis"/>
    <n v="1"/>
    <s v="4SJT41990637"/>
    <d v="2015-01-01T09:52:57"/>
    <d v="2015-01-09T00:00:00"/>
    <d v="2015-01-07T20:45:01"/>
    <d v="2015-01-05T10:52:00"/>
    <d v="2015-01-06T18:16:48"/>
    <d v="2015-01-07T18:33:41"/>
    <n v="55.694722222164273"/>
    <n v="154.8677777776611"/>
    <x v="2"/>
    <n v="96.984166666574311"/>
    <n v="2.18888888892252"/>
    <x v="2"/>
    <s v="Special"/>
    <s v="Others"/>
    <x v="2"/>
    <x v="2"/>
    <n v="1"/>
    <s v="元旦1号到4号休息"/>
  </r>
  <r>
    <s v="TSG_MLTPRT_PF"/>
    <n v="313882713"/>
    <n v="1115276740"/>
    <s v="663600-B21"/>
    <s v="HP 1xSL4500 Chassis"/>
    <n v="1"/>
    <s v="4SJT41990636"/>
    <d v="2015-01-01T09:54:58"/>
    <d v="2015-01-09T00:00:00"/>
    <d v="2015-01-07T20:45:01"/>
    <d v="2015-01-05T10:52:00"/>
    <d v="2015-01-06T18:12:17"/>
    <d v="2015-01-07T18:37:35"/>
    <n v="55.759722222166602"/>
    <n v="154.83416666655103"/>
    <x v="2"/>
    <n v="96.950555555464234"/>
    <n v="2.1238888889201917"/>
    <x v="2"/>
    <s v="Special"/>
    <s v="Others"/>
    <x v="2"/>
    <x v="2"/>
    <n v="1"/>
    <s v="元旦1号到4号休息"/>
  </r>
  <r>
    <s v="TSG_MLTPRT_PF"/>
    <n v="313882711"/>
    <n v="1115283857"/>
    <s v="663600-B21"/>
    <s v="HP 1xSL4500 Chassis"/>
    <n v="1"/>
    <s v="4SJT41990635"/>
    <d v="2015-01-01T09:52:49"/>
    <d v="2015-01-09T00:00:00"/>
    <d v="2015-01-07T20:45:01"/>
    <d v="2015-01-05T10:52:00"/>
    <d v="2015-01-06T18:14:52"/>
    <d v="2015-01-07T19:12:38"/>
    <n v="56.343888888834044"/>
    <n v="154.86999999987893"/>
    <x v="2"/>
    <n v="96.986388888792135"/>
    <n v="1.5397222222527489"/>
    <x v="2"/>
    <s v="Special"/>
    <s v="Others"/>
    <x v="2"/>
    <x v="2"/>
    <n v="1"/>
    <s v="元旦1号到4号休息"/>
  </r>
  <r>
    <s v="TSG_MLTPRT_PF"/>
    <n v="313882710"/>
    <n v="1115280639"/>
    <s v="663600-B21"/>
    <s v="HP 1xSL4500 Chassis"/>
    <n v="1"/>
    <s v="4SJT41990634"/>
    <d v="2015-01-01T09:52:57"/>
    <d v="2015-01-09T00:00:00"/>
    <d v="2015-01-07T22:36:08"/>
    <d v="2015-01-05T10:52:00"/>
    <d v="2015-01-06T19:59:30"/>
    <d v="2015-01-07T19:57:30"/>
    <n v="57.09166666661622"/>
    <n v="156.71972222212935"/>
    <x v="2"/>
    <n v="96.984166666574311"/>
    <n v="2.6438888889388181"/>
    <x v="2"/>
    <s v="Special"/>
    <s v="Others"/>
    <x v="2"/>
    <x v="2"/>
    <n v="1"/>
    <s v="元旦1号到4号休息"/>
  </r>
  <r>
    <s v="TSG_MLTPRT_PF"/>
    <n v="313882709"/>
    <n v="1115276664"/>
    <s v="663600-B21"/>
    <s v="HP 1xSL4500 Chassis"/>
    <n v="1"/>
    <s v="4SJT41990633"/>
    <d v="2015-01-01T09:52:47"/>
    <d v="2015-01-09T00:00:00"/>
    <d v="2015-01-08T14:18:09"/>
    <d v="2015-01-05T10:52:00"/>
    <d v="2015-01-06T19:32:11"/>
    <d v="2015-01-08T12:07:20"/>
    <n v="73.255555555515457"/>
    <n v="172.42277777788695"/>
    <x v="2"/>
    <n v="96.986944444477558"/>
    <n v="2.1802777778939344"/>
    <x v="2"/>
    <s v="Special"/>
    <s v="Others"/>
    <x v="2"/>
    <x v="2"/>
    <n v="1"/>
    <m/>
  </r>
  <r>
    <s v="TSG_MLTPRT_PF"/>
    <n v="313882707"/>
    <n v="1115286809"/>
    <s v="663600-B21"/>
    <s v="HP 1xSL4500 Chassis"/>
    <n v="1"/>
    <s v="4SJT41990632"/>
    <d v="2015-01-01T09:52:57"/>
    <d v="2015-01-09T00:00:00"/>
    <d v="2015-01-07T22:36:08"/>
    <d v="2015-01-05T10:52:00"/>
    <d v="2015-01-06T20:03:45"/>
    <d v="2015-01-07T19:59:18"/>
    <n v="57.12166666664416"/>
    <n v="156.71972222212935"/>
    <x v="2"/>
    <n v="96.984166666574311"/>
    <n v="2.6138888889108784"/>
    <x v="2"/>
    <s v="Special"/>
    <s v="Others"/>
    <x v="2"/>
    <x v="2"/>
    <n v="1"/>
    <s v="元旦1号到4号休息"/>
  </r>
  <r>
    <s v="TSG_MLTPRT_PF"/>
    <n v="313882705"/>
    <n v="1115283426"/>
    <s v="663600-B21"/>
    <s v="HP 1xSL4500 Chassis"/>
    <n v="1"/>
    <s v="4SJT41990631"/>
    <d v="2015-01-01T09:52:57"/>
    <d v="2015-01-09T00:00:00"/>
    <d v="2015-01-07T20:45:01"/>
    <d v="2015-01-05T10:52:00"/>
    <d v="2015-01-06T14:43:54"/>
    <d v="2015-01-07T18:28:10"/>
    <n v="55.602777777879965"/>
    <n v="154.8677777776611"/>
    <x v="2"/>
    <n v="96.984166666574311"/>
    <n v="2.2808333332068287"/>
    <x v="2"/>
    <s v="Special"/>
    <s v="Others"/>
    <x v="2"/>
    <x v="2"/>
    <n v="1"/>
    <s v="元旦1号到4号休息"/>
  </r>
  <r>
    <s v="TSG_MLTPRT_PF"/>
    <n v="313882704"/>
    <n v="1115281329"/>
    <s v="663600-B21"/>
    <s v="HP 1xSL4500 Chassis"/>
    <n v="1"/>
    <s v="4SJT41990630"/>
    <d v="2015-01-01T09:52:47"/>
    <d v="2015-01-09T00:00:00"/>
    <d v="2015-01-07T22:36:08"/>
    <d v="2015-01-05T10:52:00"/>
    <d v="2015-01-06T14:43:09"/>
    <d v="2015-01-07T19:02:48"/>
    <n v="56.180000000051223"/>
    <n v="156.7225000000326"/>
    <x v="2"/>
    <n v="96.986944444477558"/>
    <n v="3.5555555555038154"/>
    <x v="2"/>
    <s v="Special"/>
    <s v="Others"/>
    <x v="2"/>
    <x v="2"/>
    <n v="1"/>
    <s v="元旦1号到4号休息"/>
  </r>
  <r>
    <s v="TSG_MLTPRT_PF"/>
    <n v="313882506"/>
    <n v="1115286129"/>
    <s v="663600-B21"/>
    <s v="HP 1xSL4500 Chassis"/>
    <n v="1"/>
    <s v="4SJT41990629"/>
    <d v="2015-01-01T09:52:47"/>
    <d v="2015-01-09T00:00:00"/>
    <d v="2015-01-08T13:46:20"/>
    <d v="2015-01-05T10:52:00"/>
    <d v="2015-01-06T19:21:29"/>
    <d v="2015-01-08T12:12:24"/>
    <n v="73.339999999967404"/>
    <n v="171.89250000013271"/>
    <x v="2"/>
    <n v="96.986944444477558"/>
    <n v="1.5655555556877516"/>
    <x v="2"/>
    <s v="Special"/>
    <s v="Others"/>
    <x v="2"/>
    <x v="2"/>
    <n v="1"/>
    <m/>
  </r>
  <r>
    <s v="TSG_MLTPRT_PF"/>
    <n v="313882505"/>
    <n v="1115283792"/>
    <s v="663600-B21"/>
    <s v="HP 1xSL4500 Chassis"/>
    <n v="1"/>
    <s v="4SJT41990628"/>
    <d v="2015-01-01T09:52:49"/>
    <d v="2015-01-09T00:00:00"/>
    <d v="2015-01-07T20:45:01"/>
    <d v="2015-01-05T10:52:00"/>
    <d v="2015-01-06T12:38:45"/>
    <d v="2015-01-07T19:04:31"/>
    <n v="56.20861111121485"/>
    <n v="154.86999999987893"/>
    <x v="2"/>
    <n v="96.986388888792135"/>
    <n v="1.6749999998719431"/>
    <x v="2"/>
    <s v="Special"/>
    <s v="Others"/>
    <x v="2"/>
    <x v="2"/>
    <n v="1"/>
    <s v="元旦1号到4号休息"/>
  </r>
  <r>
    <s v="TSG_MLTPRT_PF"/>
    <n v="313882438"/>
    <n v="1115282841"/>
    <s v="663600-B21"/>
    <s v="HP 1xSL4500 Chassis"/>
    <n v="1"/>
    <s v="4SJT41990627"/>
    <d v="2015-01-01T09:52:48"/>
    <d v="2015-01-09T00:00:00"/>
    <d v="2015-01-07T20:45:01"/>
    <d v="2015-01-05T10:52:00"/>
    <d v="2015-01-06T12:29:36"/>
    <d v="2015-01-07T18:28:25"/>
    <n v="55.606944444472902"/>
    <n v="154.87027777772164"/>
    <x v="2"/>
    <n v="96.986666666634846"/>
    <n v="2.2766666666138917"/>
    <x v="2"/>
    <s v="Special"/>
    <s v="Others"/>
    <x v="2"/>
    <x v="2"/>
    <n v="1"/>
    <s v="元旦1号到4号休息"/>
  </r>
  <r>
    <s v="TSG_MLTPRT_PF"/>
    <n v="313882436"/>
    <n v="1115284249"/>
    <s v="663600-B21"/>
    <s v="HP 1xSL4500 Chassis"/>
    <n v="1"/>
    <s v="4SJT41990626"/>
    <d v="2015-01-01T09:52:48"/>
    <d v="2015-01-09T00:00:00"/>
    <d v="2015-01-07T22:36:08"/>
    <d v="2015-01-05T10:52:00"/>
    <d v="2015-01-06T12:27:14"/>
    <d v="2015-01-07T19:59:53"/>
    <n v="57.131388888868969"/>
    <n v="156.72222222218988"/>
    <x v="2"/>
    <n v="96.986666666634846"/>
    <n v="2.6041666666860692"/>
    <x v="2"/>
    <s v="Special"/>
    <s v="Others"/>
    <x v="2"/>
    <x v="2"/>
    <n v="1"/>
    <s v="元旦1号到4号休息"/>
  </r>
  <r>
    <s v="TSG_MLTPRT_PF"/>
    <n v="313882435"/>
    <n v="1115287471"/>
    <s v="663600-B21"/>
    <s v="HP 1xSL4500 Chassis"/>
    <n v="1"/>
    <s v="4SJT41990625"/>
    <d v="2015-01-01T09:52:47"/>
    <d v="2015-01-09T00:00:00"/>
    <d v="2015-01-07T22:36:08"/>
    <d v="2015-01-05T10:52:00"/>
    <d v="2015-01-06T14:40:55"/>
    <d v="2015-01-07T19:09:13"/>
    <n v="56.286944444524124"/>
    <n v="156.7225000000326"/>
    <x v="2"/>
    <n v="96.986944444477558"/>
    <n v="3.4486111110309139"/>
    <x v="2"/>
    <s v="Special"/>
    <s v="Others"/>
    <x v="2"/>
    <x v="2"/>
    <n v="1"/>
    <s v="元旦1号到4号休息"/>
  </r>
  <r>
    <s v="TSG_MLTPRT_PF"/>
    <n v="313882434"/>
    <n v="1115285749"/>
    <s v="663600-B21"/>
    <s v="HP 1xSL4500 Chassis"/>
    <n v="1"/>
    <s v="4SJT41990624"/>
    <d v="2015-01-01T09:52:47"/>
    <d v="2015-01-09T00:00:00"/>
    <d v="2015-01-08T13:46:20"/>
    <d v="2015-01-05T10:52:00"/>
    <d v="2015-01-06T19:27:42"/>
    <d v="2015-01-08T12:05:40"/>
    <n v="73.227777777879965"/>
    <n v="171.89250000013271"/>
    <x v="2"/>
    <n v="96.986944444477558"/>
    <n v="1.6777777777751908"/>
    <x v="2"/>
    <s v="Special"/>
    <s v="Others"/>
    <x v="2"/>
    <x v="2"/>
    <n v="1"/>
    <m/>
  </r>
  <r>
    <s v="TSG_MLTPRT_PF"/>
    <n v="313882431"/>
    <n v="1115286436"/>
    <s v="663600-B21"/>
    <s v="HP 1xSL4500 Chassis"/>
    <n v="1"/>
    <s v="4SJT41990623"/>
    <d v="2015-01-01T09:51:48"/>
    <d v="2015-01-09T00:00:00"/>
    <d v="2015-01-08T21:43:16"/>
    <d v="2015-01-05T10:52:00"/>
    <d v="2015-01-06T19:26:53"/>
    <d v="2015-01-08T18:39:55"/>
    <n v="79.798611111065838"/>
    <n v="179.85777777788462"/>
    <x v="2"/>
    <n v="97.00333333335584"/>
    <n v="3.0558333334629424"/>
    <x v="2"/>
    <s v="Special"/>
    <s v="Others"/>
    <x v="2"/>
    <x v="2"/>
    <n v="1"/>
    <m/>
  </r>
  <r>
    <s v="TSG_MLTPRT_PF"/>
    <n v="313882430"/>
    <n v="1115287516"/>
    <s v="663600-B21"/>
    <s v="HP 1xSL4500 Chassis"/>
    <n v="1"/>
    <s v="4SJT41990622"/>
    <d v="2015-01-01T09:52:57"/>
    <d v="2015-01-09T00:00:00"/>
    <d v="2015-01-07T20:45:01"/>
    <d v="2015-01-05T10:52:00"/>
    <d v="2015-01-06T12:37:56"/>
    <d v="2015-01-07T18:33:05"/>
    <n v="55.684722222271375"/>
    <n v="154.8677777776611"/>
    <x v="2"/>
    <n v="96.984166666574311"/>
    <n v="2.1988888888154179"/>
    <x v="2"/>
    <s v="Special"/>
    <s v="Others"/>
    <x v="2"/>
    <x v="2"/>
    <n v="1"/>
    <s v="元旦1号到4号休息"/>
  </r>
  <r>
    <s v="TSG_MLTPRT_PF"/>
    <n v="313882428"/>
    <n v="1115273787"/>
    <s v="663600-B21"/>
    <s v="HP 1xSL4500 Chassis"/>
    <n v="1"/>
    <s v="4SJT41990621"/>
    <d v="2015-01-01T09:51:48"/>
    <d v="2015-01-09T00:00:00"/>
    <d v="2015-01-07T22:36:08"/>
    <d v="2015-01-05T10:52:00"/>
    <d v="2015-01-06T18:19:44"/>
    <d v="2015-01-07T19:16:38"/>
    <n v="56.410555555543397"/>
    <n v="156.73888888891088"/>
    <x v="2"/>
    <n v="97.00333333335584"/>
    <n v="3.3250000000116415"/>
    <x v="2"/>
    <s v="Special"/>
    <s v="Others"/>
    <x v="2"/>
    <x v="2"/>
    <n v="1"/>
    <s v="元旦1号到4号休息"/>
  </r>
  <r>
    <s v="TSG_MLTPRT_PF"/>
    <n v="313882426"/>
    <n v="1115283673"/>
    <s v="663600-B21"/>
    <s v="HP 1xSL4500 Chassis"/>
    <n v="1"/>
    <s v="4SJT41990620"/>
    <d v="2015-01-01T09:51:49"/>
    <d v="2015-01-09T00:00:00"/>
    <d v="2015-01-08T21:43:16"/>
    <d v="2015-01-05T10:52:00"/>
    <d v="2015-01-06T19:19:08"/>
    <d v="2015-01-08T18:44:52"/>
    <n v="79.881111111142673"/>
    <n v="179.85750000004191"/>
    <x v="2"/>
    <n v="97.003055555513129"/>
    <n v="2.9733333333861083"/>
    <x v="2"/>
    <s v="Special"/>
    <s v="Others"/>
    <x v="2"/>
    <x v="2"/>
    <n v="1"/>
    <m/>
  </r>
  <r>
    <s v="TSG_MLTPRT_PF"/>
    <n v="313882425"/>
    <n v="1115286001"/>
    <s v="663600-B21"/>
    <s v="HP 1xSL4500 Chassis"/>
    <n v="1"/>
    <s v="4SJT41990619"/>
    <d v="2015-01-01T09:52:48"/>
    <d v="2015-01-09T00:00:00"/>
    <d v="2015-01-07T20:45:01"/>
    <d v="2015-01-05T10:52:00"/>
    <d v="2015-01-06T18:20:48"/>
    <d v="2015-01-07T18:42:29"/>
    <n v="55.841388888889924"/>
    <n v="154.87027777772164"/>
    <x v="2"/>
    <n v="96.986666666634846"/>
    <n v="2.0422222221968696"/>
    <x v="2"/>
    <s v="Special"/>
    <s v="Others"/>
    <x v="2"/>
    <x v="2"/>
    <n v="1"/>
    <s v="元旦1号到4号休息"/>
  </r>
  <r>
    <s v="TSG_MLTPRT_PF"/>
    <n v="313882195"/>
    <n v="1115286806"/>
    <s v="663600-B21"/>
    <s v="HP 1xSL4500 Chassis"/>
    <n v="1"/>
    <s v="4SJT41990618"/>
    <d v="2015-01-01T09:51:49"/>
    <d v="2015-01-09T00:00:00"/>
    <d v="2015-01-07T22:36:08"/>
    <d v="2015-01-05T10:52:00"/>
    <d v="2015-01-06T14:45:31"/>
    <d v="2015-01-07T20:00:51"/>
    <n v="57.147500000079162"/>
    <n v="156.73861111106817"/>
    <x v="2"/>
    <n v="97.003055555513129"/>
    <n v="2.5880555554758757"/>
    <x v="2"/>
    <s v="Special"/>
    <s v="Others"/>
    <x v="2"/>
    <x v="2"/>
    <n v="1"/>
    <s v="元旦1号到4号休息"/>
  </r>
  <r>
    <s v="TSG_MLTPRT_PF"/>
    <n v="313882189"/>
    <n v="1115276663"/>
    <s v="663600-B21"/>
    <s v="HP 1xSL4500 Chassis"/>
    <n v="1"/>
    <s v="4SJT41990617"/>
    <d v="2015-01-01T09:51:49"/>
    <d v="2015-01-09T00:00:00"/>
    <d v="2015-01-07T22:36:08"/>
    <d v="2015-01-05T10:52:00"/>
    <d v="2015-01-06T14:13:35"/>
    <d v="2015-01-07T19:19:49"/>
    <n v="56.463611111103091"/>
    <n v="156.73861111106817"/>
    <x v="2"/>
    <n v="97.003055555513129"/>
    <n v="3.2719444444519468"/>
    <x v="2"/>
    <s v="Special"/>
    <s v="Others"/>
    <x v="2"/>
    <x v="2"/>
    <n v="1"/>
    <s v="元旦1号到4号休息"/>
  </r>
  <r>
    <s v="TSG_MLTPRT_PF"/>
    <n v="313882188"/>
    <n v="1115285143"/>
    <s v="663600-B21"/>
    <s v="HP 1xSL4500 Chassis"/>
    <n v="1"/>
    <s v="4SJT41990616"/>
    <d v="2015-01-01T09:51:49"/>
    <d v="2015-01-09T00:00:00"/>
    <d v="2015-01-07T22:36:08"/>
    <d v="2015-01-05T10:52:00"/>
    <d v="2015-01-06T14:14:29"/>
    <d v="2015-01-07T19:01:31"/>
    <n v="56.158611111051869"/>
    <n v="156.73861111106817"/>
    <x v="2"/>
    <n v="97.003055555513129"/>
    <n v="3.5769444445031695"/>
    <x v="2"/>
    <s v="Special"/>
    <s v="Others"/>
    <x v="2"/>
    <x v="2"/>
    <n v="1"/>
    <s v="元旦1号到4号休息"/>
  </r>
  <r>
    <s v="TSG_MLTPRT_PF"/>
    <n v="313882187"/>
    <n v="1115283425"/>
    <s v="663600-B21"/>
    <s v="HP 1xSL4500 Chassis"/>
    <n v="1"/>
    <s v="4SJT41990615"/>
    <d v="2015-01-01T09:51:48"/>
    <d v="2015-01-09T00:00:00"/>
    <d v="2015-01-07T20:45:01"/>
    <d v="2015-01-05T10:52:00"/>
    <d v="2015-01-06T12:32:54"/>
    <d v="2015-01-07T18:47:24"/>
    <n v="55.923333333281334"/>
    <n v="154.88694444444263"/>
    <x v="2"/>
    <n v="97.00333333335584"/>
    <n v="1.9602777778054588"/>
    <x v="2"/>
    <s v="Special"/>
    <s v="Others"/>
    <x v="2"/>
    <x v="2"/>
    <n v="1"/>
    <s v="元旦1号到4号休息"/>
  </r>
  <r>
    <s v="TSG_MLTPRT_PF"/>
    <n v="313882186"/>
    <n v="1115282280"/>
    <s v="663600-B21"/>
    <s v="HP 1xSL4500 Chassis"/>
    <n v="1"/>
    <s v="4SJT41990614"/>
    <d v="2015-01-01T09:51:48"/>
    <d v="2015-01-09T00:00:00"/>
    <d v="2015-01-07T22:36:08"/>
    <d v="2015-01-05T10:52:00"/>
    <d v="2015-01-06T10:29:01"/>
    <d v="2015-01-07T19:03:10"/>
    <n v="56.186111111193895"/>
    <n v="156.73888888891088"/>
    <x v="2"/>
    <n v="97.00333333335584"/>
    <n v="3.5494444443611428"/>
    <x v="2"/>
    <s v="Special"/>
    <s v="Others"/>
    <x v="2"/>
    <x v="2"/>
    <n v="1"/>
    <s v="元旦1号到4号休息"/>
  </r>
  <r>
    <s v="TSG_MLTPRT_PF"/>
    <n v="313882037"/>
    <n v="1115287094"/>
    <s v="663600-B21"/>
    <s v="HP 1xSL4500 Chassis"/>
    <n v="1"/>
    <s v="4SJT41990613"/>
    <d v="2015-01-01T09:51:48"/>
    <d v="2015-01-09T00:00:00"/>
    <d v="2015-01-07T22:36:08"/>
    <d v="2015-01-05T10:52:00"/>
    <d v="2015-01-05T20:32:13"/>
    <d v="2015-01-07T19:19:35"/>
    <n v="56.459722222178243"/>
    <n v="156.73888888891088"/>
    <x v="2"/>
    <n v="97.00333333335584"/>
    <n v="3.2758333333767951"/>
    <x v="2"/>
    <s v="Special"/>
    <s v="Others"/>
    <x v="2"/>
    <x v="2"/>
    <n v="1"/>
    <s v="元旦1号到4号休息"/>
  </r>
  <r>
    <s v="TSG_MLTPRT_PF"/>
    <n v="313882036"/>
    <n v="1115282366"/>
    <s v="663600-B21"/>
    <s v="HP 1xSL4500 Chassis"/>
    <n v="1"/>
    <s v="4SJT41990612"/>
    <d v="2015-01-01T09:51:48"/>
    <d v="2015-01-09T00:00:00"/>
    <d v="2015-01-07T22:36:08"/>
    <d v="2015-01-05T10:52:00"/>
    <d v="2015-01-05T20:07:48"/>
    <d v="2015-01-07T20:01:39"/>
    <n v="57.160833333386108"/>
    <n v="156.73888888891088"/>
    <x v="2"/>
    <n v="97.00333333335584"/>
    <n v="2.5747222221689299"/>
    <x v="2"/>
    <s v="Special"/>
    <s v="Others"/>
    <x v="2"/>
    <x v="2"/>
    <n v="1"/>
    <s v="元旦1号到4号休息"/>
  </r>
  <r>
    <s v="TSG_MLTPRT_PF"/>
    <n v="313881830"/>
    <n v="1115276739"/>
    <s v="663600-B21"/>
    <s v="HP 1xSL4500 Chassis"/>
    <n v="1"/>
    <s v="4SJT41990611"/>
    <d v="2015-01-01T09:51:48"/>
    <d v="2015-01-09T00:00:00"/>
    <d v="2015-01-07T20:45:01"/>
    <d v="2015-01-05T10:52:00"/>
    <d v="2015-01-05T20:10:07"/>
    <d v="2015-01-07T18:51:29"/>
    <n v="55.991388888854999"/>
    <n v="154.88694444444263"/>
    <x v="2"/>
    <n v="97.00333333335584"/>
    <n v="1.8922222222317941"/>
    <x v="2"/>
    <s v="Special"/>
    <s v="Others"/>
    <x v="2"/>
    <x v="2"/>
    <n v="1"/>
    <s v="元旦1号到4号休息"/>
  </r>
  <r>
    <s v="TSG_MLTPRT_PF"/>
    <n v="313881829"/>
    <n v="1115283852"/>
    <s v="663600-B21"/>
    <s v="HP 1xSL4500 Chassis"/>
    <n v="1"/>
    <s v="4SJT41990610"/>
    <d v="2015-01-01T09:51:48"/>
    <d v="2015-01-09T00:00:00"/>
    <d v="2015-01-07T20:45:01"/>
    <d v="2015-01-05T10:52:00"/>
    <d v="2015-01-05T19:37:57"/>
    <d v="2015-01-07T19:13:06"/>
    <n v="56.351666666683741"/>
    <n v="154.88694444444263"/>
    <x v="2"/>
    <n v="97.00333333335584"/>
    <n v="1.5319444444030523"/>
    <x v="2"/>
    <s v="Special"/>
    <s v="Others"/>
    <x v="2"/>
    <x v="2"/>
    <n v="1"/>
    <s v="元旦1号到4号休息"/>
  </r>
  <r>
    <s v="TSG_MLTPRT_PF"/>
    <n v="313879845"/>
    <n v="1115287636"/>
    <s v="663600-B21"/>
    <s v="HP 1xSL4500 Chassis"/>
    <n v="1"/>
    <s v="4SJT41990607"/>
    <d v="2015-01-01T09:51:48"/>
    <d v="2015-01-09T00:00:00"/>
    <d v="2015-01-08T21:43:15"/>
    <d v="2015-01-05T10:52:00"/>
    <d v="2015-01-05T19:00:40"/>
    <d v="2015-01-08T18:45:12"/>
    <n v="79.886666666774545"/>
    <n v="179.85750000004191"/>
    <x v="2"/>
    <n v="97.00333333335584"/>
    <n v="2.9674999999115244"/>
    <x v="2"/>
    <s v="Special"/>
    <s v="Others"/>
    <x v="2"/>
    <x v="2"/>
    <n v="1"/>
    <m/>
  </r>
  <r>
    <s v="TSG_MLTPRT_PF"/>
    <n v="313879844"/>
    <n v="1115282283"/>
    <s v="663600-B21"/>
    <s v="HP 1xSL4500 Chassis"/>
    <n v="1"/>
    <s v="4SJT41990606"/>
    <d v="2015-01-01T09:51:48"/>
    <d v="2015-01-09T00:00:00"/>
    <d v="2015-01-07T20:45:01"/>
    <d v="2015-01-05T10:52:00"/>
    <d v="2015-01-06T15:48:05"/>
    <d v="2015-01-07T19:04:12"/>
    <n v="56.203333333425689"/>
    <n v="154.88694444444263"/>
    <x v="2"/>
    <n v="97.00333333335584"/>
    <n v="1.6802777776611038"/>
    <x v="2"/>
    <s v="Special"/>
    <s v="Others"/>
    <x v="2"/>
    <x v="2"/>
    <n v="1"/>
    <s v="元旦1号到4号休息"/>
  </r>
  <r>
    <s v="TSG_MLTPRT_PF"/>
    <n v="313879253"/>
    <n v="1115286059"/>
    <s v="663600-B21"/>
    <s v="HP 1xSL4500 Chassis"/>
    <n v="1"/>
    <s v="4SJT41990605"/>
    <d v="2015-01-01T09:50:48"/>
    <d v="2015-01-09T00:00:00"/>
    <d v="2015-01-07T22:36:08"/>
    <d v="2015-01-05T10:52:00"/>
    <d v="2015-01-05T19:36:10"/>
    <d v="2015-01-07T19:16:15"/>
    <n v="56.404166666732635"/>
    <n v="156.75555555545725"/>
    <x v="2"/>
    <n v="97.019999999902211"/>
    <n v="3.3313888888224028"/>
    <x v="2"/>
    <s v="Special"/>
    <s v="Others"/>
    <x v="2"/>
    <x v="2"/>
    <n v="1"/>
    <s v="元旦1号到4号休息"/>
  </r>
  <r>
    <s v="TSG_MLTPRT_PF"/>
    <n v="313879252"/>
    <n v="1115266798"/>
    <s v="663600-B21"/>
    <s v="HP 1xSL4500 Chassis"/>
    <n v="1"/>
    <s v="4SJT41990604"/>
    <d v="2015-01-01T09:50:51"/>
    <d v="2015-01-09T00:00:00"/>
    <d v="2015-01-07T22:36:08"/>
    <d v="2015-01-05T10:52:00"/>
    <d v="2015-01-06T14:46:17"/>
    <d v="2015-01-07T20:00:37"/>
    <n v="57.143611111154314"/>
    <n v="156.75472222227836"/>
    <x v="2"/>
    <n v="97.019166666723322"/>
    <n v="2.591944444400724"/>
    <x v="2"/>
    <s v="Special"/>
    <s v="Others"/>
    <x v="2"/>
    <x v="2"/>
    <n v="1"/>
    <s v="元旦1号到4号休息"/>
  </r>
  <r>
    <s v="TSG_MLTPRT_PF"/>
    <n v="313879250"/>
    <n v="1115286539"/>
    <s v="663600-B21"/>
    <s v="HP 1xSL4500 Chassis"/>
    <n v="1"/>
    <s v="4SJT41990603"/>
    <d v="2015-01-01T09:50:51"/>
    <d v="2015-01-09T00:00:00"/>
    <d v="2015-01-07T22:36:08"/>
    <d v="2015-01-05T10:52:00"/>
    <d v="2015-01-06T12:28:05"/>
    <d v="2015-01-07T19:23:22"/>
    <n v="56.522777777805459"/>
    <n v="156.75472222227836"/>
    <x v="2"/>
    <n v="97.019166666723322"/>
    <n v="3.2127777777495794"/>
    <x v="2"/>
    <s v="Special"/>
    <s v="Others"/>
    <x v="2"/>
    <x v="2"/>
    <n v="1"/>
    <s v="元旦1号到4号休息"/>
  </r>
  <r>
    <s v="TSG_MLTPRT_PF"/>
    <n v="313879249"/>
    <n v="1115282673"/>
    <s v="663600-B21"/>
    <s v="HP 1xSL4500 Chassis"/>
    <n v="1"/>
    <s v="4SJT41990602"/>
    <d v="2015-01-01T09:50:49"/>
    <d v="2015-01-09T00:00:00"/>
    <d v="2015-01-08T21:43:15"/>
    <d v="2015-01-05T10:52:00"/>
    <d v="2015-01-06T12:34:29"/>
    <d v="2015-01-08T18:41:11"/>
    <n v="79.819722222222481"/>
    <n v="179.87388888892019"/>
    <x v="2"/>
    <n v="97.019722222234122"/>
    <n v="3.0344444444635883"/>
    <x v="2"/>
    <s v="Special"/>
    <s v="Others"/>
    <x v="2"/>
    <x v="2"/>
    <n v="1"/>
    <m/>
  </r>
  <r>
    <s v="TSG_MLTPRT_PF"/>
    <n v="313879248"/>
    <n v="1115282143"/>
    <s v="663600-B21"/>
    <s v="HP 1xSL4500 Chassis"/>
    <n v="1"/>
    <s v="4SJT41990601"/>
    <d v="2015-01-01T09:50:51"/>
    <d v="2015-01-09T00:00:00"/>
    <d v="2015-01-07T22:36:08"/>
    <d v="2015-01-05T10:52:00"/>
    <d v="2015-01-06T10:51:20"/>
    <d v="2015-01-07T19:09:30"/>
    <n v="56.291666666627862"/>
    <n v="156.75472222227836"/>
    <x v="2"/>
    <n v="97.019166666723322"/>
    <n v="3.4438888889271766"/>
    <x v="2"/>
    <s v="Special"/>
    <s v="Others"/>
    <x v="2"/>
    <x v="2"/>
    <n v="1"/>
    <s v="元旦1号到4号休息"/>
  </r>
  <r>
    <s v="TSG_MLTPRT_PF"/>
    <n v="313879246"/>
    <n v="1115281899"/>
    <s v="663600-B21"/>
    <s v="HP 1xSL4500 Chassis"/>
    <n v="1"/>
    <s v="4SJT41990600"/>
    <d v="2015-01-01T09:50:49"/>
    <d v="2015-01-09T00:00:00"/>
    <d v="2015-01-08T21:43:15"/>
    <d v="2015-01-05T10:52:00"/>
    <d v="2015-01-06T10:50:13"/>
    <d v="2015-01-08T18:48:00"/>
    <n v="79.933333333348855"/>
    <n v="179.87388888892019"/>
    <x v="2"/>
    <n v="97.019722222234122"/>
    <n v="2.9208333333372138"/>
    <x v="2"/>
    <s v="Special"/>
    <s v="Others"/>
    <x v="2"/>
    <x v="2"/>
    <n v="1"/>
    <m/>
  </r>
  <r>
    <s v="TSG_MLTPRT_PF"/>
    <n v="313879245"/>
    <n v="1115273786"/>
    <s v="663600-B21"/>
    <s v="HP 1xSL4500 Chassis"/>
    <n v="1"/>
    <s v="4SJT41990599"/>
    <d v="2015-01-01T09:50:50"/>
    <d v="2015-01-09T00:00:00"/>
    <d v="2015-01-07T20:45:02"/>
    <d v="2015-01-05T10:52:00"/>
    <d v="2015-01-05T20:09:15"/>
    <d v="2015-01-07T18:52:12"/>
    <n v="56.003333333297633"/>
    <n v="154.90333333332092"/>
    <x v="2"/>
    <n v="97.019444444391411"/>
    <n v="1.8805555556318723"/>
    <x v="2"/>
    <s v="Special"/>
    <s v="Others"/>
    <x v="2"/>
    <x v="2"/>
    <n v="1"/>
    <s v="元旦1号到4号休息"/>
  </r>
  <r>
    <s v="TSG_MLTPRT_PF"/>
    <n v="313879244"/>
    <n v="1115287213"/>
    <s v="663600-B21"/>
    <s v="HP 1xSL4500 Chassis"/>
    <n v="1"/>
    <s v="4SJT41990598"/>
    <d v="2015-01-01T09:50:49"/>
    <d v="2015-01-09T00:00:00"/>
    <d v="2015-01-07T20:45:02"/>
    <d v="2015-01-05T10:52:00"/>
    <d v="2015-01-06T10:30:21"/>
    <d v="2015-01-07T18:47:04"/>
    <n v="55.917777777824085"/>
    <n v="154.90361111116363"/>
    <x v="2"/>
    <n v="97.019722222234122"/>
    <n v="1.9661111111054197"/>
    <x v="2"/>
    <s v="Special"/>
    <s v="Others"/>
    <x v="2"/>
    <x v="2"/>
    <n v="1"/>
    <s v="元旦1号到4号休息"/>
  </r>
  <r>
    <s v="TSG_MLTPRT_PF"/>
    <n v="313879183"/>
    <n v="1115282365"/>
    <s v="663600-B21"/>
    <s v="HP 1xSL4500 Chassis"/>
    <n v="1"/>
    <s v="4SJT41990597"/>
    <d v="2015-01-01T09:50:49"/>
    <d v="2015-01-09T00:00:00"/>
    <d v="2015-01-07T22:36:08"/>
    <d v="2015-01-05T10:52:00"/>
    <d v="2015-01-06T17:57:34"/>
    <d v="2015-01-07T19:57:04"/>
    <n v="57.084444444451947"/>
    <n v="156.75527777778916"/>
    <x v="2"/>
    <n v="97.019722222234122"/>
    <n v="2.6511111111030914"/>
    <x v="2"/>
    <s v="Special"/>
    <s v="Others"/>
    <x v="2"/>
    <x v="2"/>
    <n v="1"/>
    <s v="元旦1号到4号休息"/>
  </r>
  <r>
    <s v="TSG_MLTPRT_PF"/>
    <n v="313879182"/>
    <n v="1115285364"/>
    <s v="663600-B21"/>
    <s v="HP 1xSL4500 Chassis"/>
    <n v="1"/>
    <s v="4SJT41990596"/>
    <d v="2015-01-01T09:50:57"/>
    <d v="2015-01-09T00:00:00"/>
    <d v="2015-01-10T11:38:43"/>
    <d v="2015-01-05T10:52:00"/>
    <d v="2015-01-05T20:33:54"/>
    <d v="2015-01-10T09:45:48"/>
    <n v="118.89666666666744"/>
    <n v="217.79611111117993"/>
    <x v="1"/>
    <n v="97.017500000016298"/>
    <n v="1.8819444444961846"/>
    <x v="1"/>
    <s v="Diags issue"/>
    <s v="TE"/>
    <x v="6"/>
    <x v="6"/>
    <n v="1"/>
    <s v="机器run-in报错930801，HP要求留下机器给GBU查看"/>
  </r>
  <r>
    <s v="TSG_MLTPRT_PF"/>
    <n v="313878951"/>
    <n v="1115282840"/>
    <s v="663600-B21"/>
    <s v="HP 1xSL4500 Chassis"/>
    <n v="1"/>
    <s v="4SJT41990595"/>
    <d v="2015-01-01T09:50:51"/>
    <d v="2015-01-09T00:00:00"/>
    <d v="2015-01-08T18:17:23"/>
    <d v="2015-01-05T10:52:00"/>
    <d v="2015-01-06T19:17:52"/>
    <d v="2015-01-08T16:33:24"/>
    <n v="77.690000000002328"/>
    <n v="176.44222222227836"/>
    <x v="2"/>
    <n v="97.019166666723322"/>
    <n v="1.7330555555527098"/>
    <x v="2"/>
    <s v="Special"/>
    <s v="Others"/>
    <x v="2"/>
    <x v="2"/>
    <n v="1"/>
    <m/>
  </r>
  <r>
    <s v="TSG_MLTPRT_PF"/>
    <n v="313878950"/>
    <n v="1115263506"/>
    <s v="663600-B21"/>
    <s v="HP 1xSL4500 Chassis"/>
    <n v="1"/>
    <s v="4SJT41990594"/>
    <d v="2015-01-01T09:50:50"/>
    <d v="2015-01-09T00:00:00"/>
    <d v="2015-01-08T14:18:09"/>
    <d v="2015-01-05T10:52:00"/>
    <d v="2015-01-06T12:35:33"/>
    <d v="2015-01-08T12:12:55"/>
    <n v="73.348611111170612"/>
    <n v="172.4552777778008"/>
    <x v="2"/>
    <n v="97.019444444391411"/>
    <n v="2.0872222222387791"/>
    <x v="2"/>
    <s v="Special"/>
    <s v="Others"/>
    <x v="2"/>
    <x v="2"/>
    <n v="1"/>
    <m/>
  </r>
  <r>
    <s v="TSG_MLTPRT_PF"/>
    <n v="313878948"/>
    <n v="1115284248"/>
    <s v="663600-B21"/>
    <s v="HP 1xSL4500 Chassis"/>
    <n v="1"/>
    <s v="4SJT41990593"/>
    <d v="2015-01-01T09:50:49"/>
    <d v="2015-01-09T00:00:00"/>
    <d v="2015-01-08T21:43:15"/>
    <d v="2015-01-05T10:52:00"/>
    <d v="2015-01-06T17:58:28"/>
    <d v="2015-01-08T18:46:39"/>
    <n v="79.910833333327901"/>
    <n v="179.87388888892019"/>
    <x v="2"/>
    <n v="97.019722222234122"/>
    <n v="2.9433333333581686"/>
    <x v="2"/>
    <s v="Special"/>
    <s v="Others"/>
    <x v="2"/>
    <x v="2"/>
    <n v="1"/>
    <m/>
  </r>
  <r>
    <s v="TSG_MLTPRT_PF"/>
    <n v="313878947"/>
    <n v="1115285742"/>
    <s v="663600-B21"/>
    <s v="HP 1xSL4500 Chassis"/>
    <n v="1"/>
    <s v="4SJT41990592"/>
    <d v="2015-01-01T09:50:57"/>
    <d v="2015-01-09T00:00:00"/>
    <d v="2015-01-07T20:45:02"/>
    <d v="2015-01-05T10:52:00"/>
    <d v="2015-01-06T14:41:47"/>
    <d v="2015-01-07T19:05:29"/>
    <n v="56.224722222250421"/>
    <n v="154.9013888889458"/>
    <x v="2"/>
    <n v="97.017500000016298"/>
    <n v="1.6591666666790843"/>
    <x v="2"/>
    <s v="Special"/>
    <s v="Others"/>
    <x v="2"/>
    <x v="2"/>
    <n v="1"/>
    <s v="元旦1号到4号休息"/>
  </r>
  <r>
    <s v="TSG_MLTPRT_PF"/>
    <n v="313878946"/>
    <n v="1115287091"/>
    <s v="663600-B21"/>
    <s v="HP 1xSL4500 Chassis"/>
    <n v="1"/>
    <s v="4SJT41990591"/>
    <d v="2015-01-01T09:50:49"/>
    <d v="2015-01-09T00:00:00"/>
    <d v="2015-01-09T19:21:33"/>
    <d v="2015-01-05T10:52:00"/>
    <d v="2015-01-05T20:05:52"/>
    <d v="2015-01-09T17:16:08"/>
    <n v="102.40222222229932"/>
    <n v="201.51222222234355"/>
    <x v="1"/>
    <n v="97.019722222234122"/>
    <n v="2.0902777778101154"/>
    <x v="4"/>
    <s v="Purge/Hold/ECO/control build"/>
    <s v="PE"/>
    <x v="7"/>
    <x v="7"/>
    <n v="1"/>
    <s v="出货前机器node数据线连接方式需要QA全检"/>
  </r>
  <r>
    <s v="TSG_MLTPRT_PF"/>
    <n v="313878945"/>
    <n v="1115287470"/>
    <s v="663600-B21"/>
    <s v="HP 1xSL4500 Chassis"/>
    <n v="1"/>
    <s v="4SJT41990590"/>
    <d v="2015-01-01T09:50:48"/>
    <d v="2015-01-09T00:00:00"/>
    <d v="2015-01-07T20:45:02"/>
    <d v="2015-01-05T10:52:00"/>
    <d v="2015-01-06T15:47:07"/>
    <d v="2015-01-07T18:41:59"/>
    <n v="55.833055555529427"/>
    <n v="154.90388888883172"/>
    <x v="2"/>
    <n v="97.019999999902211"/>
    <n v="2.0508333334000781"/>
    <x v="2"/>
    <s v="Special"/>
    <s v="Others"/>
    <x v="2"/>
    <x v="2"/>
    <n v="1"/>
    <s v="元旦1号到4号休息"/>
  </r>
  <r>
    <s v="TSG_MLTPRT_PF"/>
    <n v="313878944"/>
    <n v="1115283380"/>
    <s v="663600-B21"/>
    <s v="HP 1xSL4500 Chassis"/>
    <n v="1"/>
    <s v="4SJT41990589"/>
    <d v="2015-01-01T09:50:49"/>
    <d v="2015-01-09T00:00:00"/>
    <d v="2015-01-09T19:21:32"/>
    <d v="2015-01-05T10:52:00"/>
    <d v="2015-01-05T19:01:49"/>
    <d v="2015-01-09T17:10:02"/>
    <n v="102.30055555561557"/>
    <n v="201.51194444450084"/>
    <x v="1"/>
    <n v="97.019722222234122"/>
    <n v="2.1916666666511446"/>
    <x v="4"/>
    <s v="shortage"/>
    <s v="Buyer"/>
    <x v="5"/>
    <x v="5"/>
    <n v="1"/>
    <s v="维修缺013637-001 2015-01-06 02:30:16"/>
  </r>
  <r>
    <s v="TSG_MLTPRT_PF"/>
    <n v="313875685"/>
    <n v="1115286709"/>
    <s v="663600-B21"/>
    <s v="HP 1xSL4500 Chassis"/>
    <n v="1"/>
    <s v="4SJT41990587"/>
    <d v="2015-01-01T09:50:51"/>
    <d v="2015-01-09T00:00:00"/>
    <d v="2015-01-08T21:43:15"/>
    <d v="2015-01-05T10:52:00"/>
    <d v="2015-01-06T13:45:41"/>
    <d v="2015-01-08T18:43:41"/>
    <n v="79.861388888850342"/>
    <n v="179.87333333340939"/>
    <x v="2"/>
    <n v="97.019166666723322"/>
    <n v="2.9927777778357267"/>
    <x v="2"/>
    <s v="Special"/>
    <s v="Others"/>
    <x v="2"/>
    <x v="2"/>
    <n v="1"/>
    <m/>
  </r>
  <r>
    <s v="TSG_MLTPRT_PF"/>
    <n v="313875684"/>
    <n v="1115287325"/>
    <s v="663600-B21"/>
    <s v="HP 1xSL4500 Chassis"/>
    <n v="1"/>
    <s v="4SJT41990586"/>
    <d v="2015-01-01T09:50:49"/>
    <d v="2015-01-09T00:00:00"/>
    <d v="2015-01-08T21:43:15"/>
    <d v="2015-01-05T10:52:00"/>
    <d v="2015-01-06T13:44:52"/>
    <d v="2015-01-08T18:41:27"/>
    <n v="79.82416666665813"/>
    <n v="179.87388888892019"/>
    <x v="2"/>
    <n v="97.019722222234122"/>
    <n v="3.0300000000279397"/>
    <x v="2"/>
    <s v="Special"/>
    <s v="Others"/>
    <x v="2"/>
    <x v="2"/>
    <n v="1"/>
    <m/>
  </r>
  <r>
    <s v="TSG_MLDL_PF"/>
    <n v="313903162"/>
    <n v="1115317735"/>
    <s v="654081-B21 #AKM"/>
    <s v="HP DL360p Gen8 8-SFF CTO Server"/>
    <n v="56"/>
    <s v="4SHT42026481"/>
    <d v="2015-01-08T20:59:27"/>
    <d v="2015-01-13T00:00:00"/>
    <d v="2015-01-10T14:00:44"/>
    <d v="2015-01-09T12:30:00"/>
    <d v="2015-01-09T14:10:38"/>
    <d v="2015-01-10T10:34:31"/>
    <n v="22.07527777767973"/>
    <n v="41.021388888882939"/>
    <x v="0"/>
    <n v="15.509166666772217"/>
    <n v="3.436944444430992"/>
    <x v="0"/>
    <m/>
    <m/>
    <x v="0"/>
    <x v="0"/>
    <n v="1"/>
    <m/>
  </r>
  <r>
    <s v="TSG_MLDL_PF"/>
    <n v="313888381"/>
    <n v="1115295474"/>
    <s v="703586-B21 #AKM"/>
    <s v="HP DL580R07 CN CTO Server"/>
    <n v="1"/>
    <s v="4SHT42025342"/>
    <d v="2015-01-08T18:02:26"/>
    <d v="2015-01-14T00:00:00"/>
    <d v="2015-01-10T14:00:44"/>
    <d v="2015-01-09T12:30:00"/>
    <d v="2015-01-09T16:56:51"/>
    <d v="2015-01-10T09:10:56"/>
    <n v="20.682222222152632"/>
    <n v="43.971666666562669"/>
    <x v="0"/>
    <n v="18.459444444451947"/>
    <n v="4.8299999999580905"/>
    <x v="0"/>
    <m/>
    <m/>
    <x v="0"/>
    <x v="0"/>
    <n v="1"/>
    <m/>
  </r>
  <r>
    <s v="TSG_MLDL_PF"/>
    <n v="313888381"/>
    <n v="1115295496"/>
    <s v="703586-B21 #AKM"/>
    <s v="HP DL580R07 CN CTO Server"/>
    <n v="4"/>
    <s v="4SHT42025342"/>
    <d v="2015-01-08T18:03:23"/>
    <d v="2015-01-14T00:00:00"/>
    <d v="2015-01-10T14:00:44"/>
    <d v="2015-01-09T12:30:00"/>
    <d v="2015-01-09T16:19:10"/>
    <d v="2015-01-10T11:00:06"/>
    <n v="22.501666666532401"/>
    <n v="43.955833333195187"/>
    <x v="0"/>
    <n v="18.443611111084465"/>
    <n v="3.0105555555783212"/>
    <x v="0"/>
    <m/>
    <m/>
    <x v="0"/>
    <x v="0"/>
    <n v="1"/>
    <m/>
  </r>
  <r>
    <s v="TSG_MLDL_PF"/>
    <n v="313887990"/>
    <n v="1115294792"/>
    <s v="703586-B21 #AKM"/>
    <s v="HP DL580R07 CN CTO Server"/>
    <n v="2"/>
    <s v="4SHT42024675"/>
    <d v="2015-01-08T16:17:21"/>
    <d v="2015-01-13T00:00:00"/>
    <d v="2015-01-10T03:18:38"/>
    <d v="2015-01-09T09:20:00"/>
    <d v="2015-01-09T12:15:09"/>
    <d v="2015-01-10T01:54:56"/>
    <n v="16.582222222234122"/>
    <n v="35.021388888882939"/>
    <x v="0"/>
    <n v="17.044166666746605"/>
    <n v="1.3949999999022111"/>
    <x v="0"/>
    <m/>
    <m/>
    <x v="0"/>
    <x v="0"/>
    <n v="1"/>
    <m/>
  </r>
  <r>
    <s v="TSG_MLDL_PF"/>
    <n v="313885847"/>
    <n v="1115291384"/>
    <s v="740800-AA1"/>
    <s v="HP DL560 Gen8 E5-4603v2 1P CN Svr"/>
    <n v="5"/>
    <s v="4SHT42020411"/>
    <d v="2015-01-07T19:43:59"/>
    <d v="2015-01-12T00:00:00"/>
    <d v="2015-01-09T17:30:32"/>
    <d v="2015-01-09T00:15:00"/>
    <d v="2015-01-09T02:32:44"/>
    <d v="2015-01-09T15:57:40"/>
    <n v="15.711111111100763"/>
    <n v="45.77583333326038"/>
    <x v="0"/>
    <n v="28.516944444389082"/>
    <n v="1.5477777777705342"/>
    <x v="0"/>
    <m/>
    <m/>
    <x v="0"/>
    <x v="0"/>
    <n v="1"/>
    <s v="short 688196-001"/>
  </r>
  <r>
    <s v="TSG_MLDL_PF"/>
    <n v="313897141"/>
    <n v="1115308815"/>
    <s v="652065-B21 #AKM"/>
    <s v="HP ML350pT08 SFF CTO Server"/>
    <n v="4"/>
    <s v="4SHT42019334"/>
    <d v="2015-01-07T15:39:44"/>
    <d v="2015-01-12T00:00:00"/>
    <d v="2015-01-09T14:02:39"/>
    <d v="2015-01-07T22:06:00"/>
    <d v="2015-01-08T08:41:12"/>
    <d v="2015-01-09T10:52:22"/>
    <n v="36.772777777863666"/>
    <n v="46.381944444437977"/>
    <x v="0"/>
    <n v="6.437777777609881"/>
    <n v="3.1713888889644295"/>
    <x v="0"/>
    <m/>
    <m/>
    <x v="0"/>
    <x v="0"/>
    <n v="1"/>
    <m/>
  </r>
  <r>
    <s v="TSG_MLDL_PF"/>
    <n v="313893950"/>
    <n v="1115302891"/>
    <s v="654081-B21 #AKM"/>
    <s v="HP DL360p Gen8 8-SFF CTO Server"/>
    <n v="1"/>
    <s v="4SHT42018411"/>
    <d v="2015-01-07T12:47:40"/>
    <d v="2015-01-12T00:00:00"/>
    <d v="2015-01-09T17:30:32"/>
    <d v="2015-01-07T21:30:00"/>
    <d v="2015-01-07T21:52:46"/>
    <d v="2015-01-08T12:54:21"/>
    <n v="15.405833333206829"/>
    <n v="52.71444444428198"/>
    <x v="0"/>
    <n v="8.7055555555270985"/>
    <n v="28.603055555548053"/>
    <x v="0"/>
    <m/>
    <m/>
    <x v="0"/>
    <x v="0"/>
    <n v="1"/>
    <m/>
  </r>
  <r>
    <s v="TSG_MLDL_PF"/>
    <n v="313893950"/>
    <n v="1115302896"/>
    <s v="654081-B21 #AKM"/>
    <s v="HP DL360p Gen8 8-SFF CTO Server"/>
    <n v="4"/>
    <s v="4SHT42018411"/>
    <d v="2015-01-07T12:47:44"/>
    <d v="2015-01-12T00:00:00"/>
    <d v="2015-01-09T17:30:32"/>
    <d v="2015-01-07T21:30:00"/>
    <d v="2015-01-07T21:55:08"/>
    <d v="2015-01-08T22:10:06"/>
    <n v="24.668333333276678"/>
    <n v="52.71333333326038"/>
    <x v="0"/>
    <n v="8.7044444445054978"/>
    <n v="19.340555555478204"/>
    <x v="0"/>
    <m/>
    <m/>
    <x v="0"/>
    <x v="0"/>
    <n v="1"/>
    <m/>
  </r>
  <r>
    <s v="TSG_MLDL_PF"/>
    <n v="313893950"/>
    <n v="1115302897"/>
    <s v="652065-B21 #AKM"/>
    <s v="HP ML350pT08 SFF CTO Server"/>
    <n v="1"/>
    <s v="4SHT42018411"/>
    <d v="2015-01-07T12:47:40"/>
    <d v="2015-01-12T00:00:00"/>
    <d v="2015-01-09T17:30:32"/>
    <d v="2015-01-07T21:30:00"/>
    <d v="2015-01-07T21:31:37"/>
    <d v="2015-01-08T14:41:29"/>
    <n v="17.191388888808433"/>
    <n v="52.71444444428198"/>
    <x v="0"/>
    <n v="8.7055555555270985"/>
    <n v="26.817499999946449"/>
    <x v="0"/>
    <m/>
    <m/>
    <x v="0"/>
    <x v="0"/>
    <n v="1"/>
    <m/>
  </r>
  <r>
    <s v="TSG_MLDL_PF"/>
    <n v="313893950"/>
    <n v="1115302898"/>
    <s v="652065-B21 #AKM"/>
    <s v="HP ML350pT08 SFF CTO Server"/>
    <n v="1"/>
    <s v="4SHT42018411"/>
    <d v="2015-01-07T12:47:44"/>
    <d v="2015-01-12T00:00:00"/>
    <d v="2015-01-09T17:30:32"/>
    <d v="2015-01-07T21:30:00"/>
    <d v="2015-01-07T21:35:22"/>
    <d v="2015-01-08T14:40:35"/>
    <n v="17.176388888794463"/>
    <n v="52.71333333326038"/>
    <x v="0"/>
    <n v="8.7044444445054978"/>
    <n v="26.832499999960419"/>
    <x v="0"/>
    <m/>
    <m/>
    <x v="0"/>
    <x v="0"/>
    <n v="1"/>
    <m/>
  </r>
  <r>
    <s v="TSG_MLDL_PF"/>
    <n v="313898212"/>
    <n v="1115306199"/>
    <s v="H9Q28A"/>
    <s v="HP DL380e G8 E5-2420v2 TC-TS5 Spcl Svr"/>
    <n v="2"/>
    <s v="4SHT42017936"/>
    <d v="2015-01-07T11:34:38"/>
    <d v="2015-01-14T00:00:00"/>
    <d v="2015-01-09T01:08:16"/>
    <d v="2015-01-07T21:30:00"/>
    <d v="2015-01-07T21:40:34"/>
    <d v="2015-01-08T22:03:14"/>
    <n v="24.553888888796791"/>
    <n v="37.56055555556668"/>
    <x v="0"/>
    <n v="9.9227777778287418"/>
    <n v="3.0838888889411464"/>
    <x v="0"/>
    <m/>
    <m/>
    <x v="0"/>
    <x v="0"/>
    <n v="1"/>
    <s v="CIC"/>
  </r>
  <r>
    <s v="TSG_MLDL_PF"/>
    <n v="313898211"/>
    <n v="1115306198"/>
    <s v="H9Q28A"/>
    <s v="HP DL380e G8 E5-2420v2 TC-TS5 Spcl Svr"/>
    <n v="2"/>
    <s v="4SHT42017935"/>
    <d v="2015-01-07T11:34:39"/>
    <d v="2015-01-14T00:00:00"/>
    <d v="2015-01-09T01:08:16"/>
    <d v="2015-01-07T21:30:00"/>
    <d v="2015-01-07T21:48:43"/>
    <d v="2015-01-08T22:03:31"/>
    <n v="24.558611111075152"/>
    <n v="37.560277777723968"/>
    <x v="0"/>
    <n v="9.9224999999860302"/>
    <n v="3.0791666666627862"/>
    <x v="0"/>
    <m/>
    <m/>
    <x v="0"/>
    <x v="0"/>
    <n v="1"/>
    <s v="CIC"/>
  </r>
  <r>
    <s v="TSG_BLD_PF"/>
    <n v="313897088"/>
    <n v="1115308928"/>
    <s v="641016-B21"/>
    <s v="HP BL460c Gen8 10/20Gb FLB CTO Blade"/>
    <n v="2"/>
    <s v="4SHT42017933"/>
    <d v="2015-01-07T11:34:38"/>
    <d v="2015-01-12T00:00:00"/>
    <d v="2015-01-09T09:31:23"/>
    <d v="2015-01-08T09:00:00"/>
    <d v="2015-01-08T12:36:00"/>
    <d v="2015-01-09T07:21:22"/>
    <n v="22.356111111177597"/>
    <n v="45.945833333360497"/>
    <x v="0"/>
    <n v="21.422777777770534"/>
    <n v="2.1669444444123656"/>
    <x v="0"/>
    <m/>
    <m/>
    <x v="0"/>
    <x v="0"/>
    <n v="1"/>
    <m/>
  </r>
  <r>
    <s v="TSG_MLDL_PF"/>
    <n v="313887252"/>
    <n v="1115293936"/>
    <s v="653200-B21 #AKM"/>
    <s v="HP DL380p Gen8 8-SFF CTO Server"/>
    <n v="8"/>
    <s v="4SHT42014782"/>
    <d v="2015-01-06T19:55:29"/>
    <d v="2015-01-09T00:00:00"/>
    <d v="2015-01-08T16:42:14"/>
    <d v="2015-01-07T09:17:00"/>
    <d v="2015-01-07T13:25:06"/>
    <d v="2015-01-08T14:59:51"/>
    <n v="29.714166666555684"/>
    <n v="44.779166666732635"/>
    <x v="0"/>
    <n v="13.358611111238133"/>
    <n v="1.7063888889388181"/>
    <x v="0"/>
    <m/>
    <m/>
    <x v="0"/>
    <x v="0"/>
    <n v="1"/>
    <m/>
  </r>
  <r>
    <s v="TSG_MLDL_PF"/>
    <n v="313887252"/>
    <n v="1115293935"/>
    <s v="653200-B21 #AKM"/>
    <s v="HP DL380p Gen8 8-SFF CTO Server"/>
    <n v="18"/>
    <s v="4SHT42014781"/>
    <d v="2015-01-06T19:56:31"/>
    <d v="2015-01-09T00:00:00"/>
    <d v="2015-01-08T17:29:15"/>
    <d v="2015-01-07T09:17:00"/>
    <d v="2015-01-07T10:30:30"/>
    <d v="2015-01-08T15:22:11"/>
    <n v="30.086388888827059"/>
    <n v="45.545555555610918"/>
    <x v="0"/>
    <n v="13.341388889006339"/>
    <n v="2.1177777777775191"/>
    <x v="0"/>
    <m/>
    <m/>
    <x v="0"/>
    <x v="0"/>
    <n v="1"/>
    <m/>
  </r>
  <r>
    <s v="TSG_MLDL_PF"/>
    <n v="313886274"/>
    <n v="1115292841"/>
    <s v="653200-B21 #AKM"/>
    <s v="HP DL380p Gen8 8-SFF CTO Server"/>
    <n v="1"/>
    <s v="4SHT42014779"/>
    <d v="2015-01-06T19:54:30"/>
    <d v="2015-01-09T00:00:00"/>
    <d v="2015-01-08T03:05:00"/>
    <d v="2015-01-07T09:17:00"/>
    <d v="2015-01-07T13:28:58"/>
    <d v="2015-01-08T00:10:58"/>
    <n v="14.89944444433786"/>
    <n v="31.174999999988358"/>
    <x v="0"/>
    <n v="13.375000000116415"/>
    <n v="2.9005555555340834"/>
    <x v="0"/>
    <m/>
    <m/>
    <x v="0"/>
    <x v="0"/>
    <n v="1"/>
    <m/>
  </r>
  <r>
    <s v="TSG_MLDL_PF"/>
    <n v="313886855"/>
    <n v="1115293466"/>
    <s v="653200-B21 #AKM"/>
    <s v="HP DL380p Gen8 8-SFF CTO Server"/>
    <n v="16"/>
    <s v="4SHT42014049"/>
    <d v="2015-01-06T17:33:20"/>
    <d v="2015-01-09T00:00:00"/>
    <d v="2015-01-09T17:30:32"/>
    <d v="2015-01-07T09:17:00"/>
    <d v="2015-01-07T10:32:24"/>
    <d v="2015-01-08T01:43:28"/>
    <n v="16.441111111140344"/>
    <n v="71.953333333251067"/>
    <x v="2"/>
    <n v="15.727777777821757"/>
    <n v="39.784444444288965"/>
    <x v="3"/>
    <s v="PGI"/>
    <s v="WH"/>
    <x v="3"/>
    <x v="3"/>
    <n v="1"/>
    <m/>
  </r>
  <r>
    <s v="TSG_MLDL_PF"/>
    <n v="313885282"/>
    <n v="1115290980"/>
    <s v="755258-B21 #AKM"/>
    <s v="HP DL360 Gen9 8SFF CTO Server"/>
    <n v="2"/>
    <s v="4SHT42014037"/>
    <d v="2015-01-06T17:29:19"/>
    <d v="2015-01-09T00:00:00"/>
    <d v="2015-01-08T16:42:14"/>
    <d v="2015-01-07T09:17:00"/>
    <d v="2015-01-07T16:22:28"/>
    <d v="2015-01-08T15:14:39"/>
    <n v="29.960833333258051"/>
    <n v="47.2152777776937"/>
    <x v="0"/>
    <n v="15.794722222199198"/>
    <n v="1.4597222222364508"/>
    <x v="0"/>
    <m/>
    <m/>
    <x v="0"/>
    <x v="0"/>
    <n v="1"/>
    <m/>
  </r>
  <r>
    <s v="TSG_MLDL_PF"/>
    <n v="313883867"/>
    <n v="1115291827"/>
    <s v="704963-B21 #AKM"/>
    <s v="HP DL585 G7 BC NIC CTO Server"/>
    <n v="16"/>
    <s v="4SHT42014033"/>
    <d v="2015-01-06T17:39:27"/>
    <d v="2015-01-12T00:00:00"/>
    <d v="2015-01-09T01:08:16"/>
    <d v="2015-01-07T09:17:00"/>
    <d v="2015-01-07T11:47:05"/>
    <d v="2015-01-08T21:59:26"/>
    <n v="36.707222222175915"/>
    <n v="55.480277777882293"/>
    <x v="0"/>
    <n v="15.625833333469927"/>
    <n v="3.1472222222364508"/>
    <x v="0"/>
    <m/>
    <m/>
    <x v="0"/>
    <x v="0"/>
    <n v="1"/>
    <m/>
  </r>
  <r>
    <s v="TSG_MLDL_PF"/>
    <n v="313877690"/>
    <n v="1115284124"/>
    <s v="719064-B21 #AKM"/>
    <s v="HP DL380 Gen9 8SFF CTO Server"/>
    <n v="2"/>
    <s v="4SHT42014028"/>
    <d v="2015-01-06T17:29:19"/>
    <d v="2015-01-09T00:00:00"/>
    <d v="2015-01-08T17:29:15"/>
    <d v="2015-01-07T09:17:00"/>
    <d v="2015-01-07T13:57:25"/>
    <d v="2015-01-08T15:57:52"/>
    <n v="30.681111111072823"/>
    <n v="47.998888888803776"/>
    <x v="0"/>
    <n v="15.794722222199198"/>
    <n v="1.5230555555317551"/>
    <x v="0"/>
    <m/>
    <m/>
    <x v="0"/>
    <x v="0"/>
    <n v="1"/>
    <m/>
  </r>
  <r>
    <s v="TSG_MLDL_PF"/>
    <n v="313877690"/>
    <n v="1115284123"/>
    <s v="719064-B21 #AKM"/>
    <s v="HP DL380 Gen9 8SFF CTO Server"/>
    <n v="1"/>
    <s v="4SHT42014027"/>
    <d v="2015-01-06T17:29:19"/>
    <d v="2015-01-09T00:00:00"/>
    <d v="2015-01-08T16:42:14"/>
    <d v="2015-01-07T09:17:00"/>
    <d v="2015-01-07T15:46:34"/>
    <d v="2015-01-08T15:13:42"/>
    <n v="29.94499999989057"/>
    <n v="47.2152777776937"/>
    <x v="0"/>
    <n v="15.794722222199198"/>
    <n v="1.4755555556039326"/>
    <x v="0"/>
    <m/>
    <m/>
    <x v="0"/>
    <x v="0"/>
    <n v="1"/>
    <m/>
  </r>
  <r>
    <s v="TSG_MLDL_PF"/>
    <n v="313877690"/>
    <n v="1115284122"/>
    <s v="686792-B21 #AKM"/>
    <s v="HP DL560 Gen8 CTO Server"/>
    <n v="2"/>
    <s v="4SHT42014026"/>
    <d v="2015-01-06T17:29:27"/>
    <d v="2015-01-09T00:00:00"/>
    <d v="2015-01-09T02:12:17"/>
    <d v="2015-01-07T09:17:00"/>
    <d v="2015-01-07T16:03:42"/>
    <d v="2015-01-08T23:49:50"/>
    <n v="38.547222222201526"/>
    <n v="56.713888888887595"/>
    <x v="0"/>
    <n v="15.792499999981374"/>
    <n v="2.3741666667046957"/>
    <x v="0"/>
    <m/>
    <m/>
    <x v="0"/>
    <x v="0"/>
    <n v="1"/>
    <m/>
  </r>
  <r>
    <s v="TSG_MLDL_PF"/>
    <n v="313876190"/>
    <n v="1115280461"/>
    <s v="719064-B21 #AKM"/>
    <s v="HP DL380 Gen9 8SFF CTO Server"/>
    <n v="6"/>
    <s v="4SHT42014025"/>
    <d v="2015-01-06T17:30:29"/>
    <d v="2015-01-09T00:00:00"/>
    <d v="2015-01-09T17:30:31"/>
    <d v="2015-01-07T09:17:00"/>
    <d v="2015-01-07T12:36:42"/>
    <d v="2015-01-09T15:23:01"/>
    <n v="54.100277777644806"/>
    <n v="72.0005555555108"/>
    <x v="1"/>
    <n v="15.775277777749579"/>
    <n v="2.1250000001164153"/>
    <x v="4"/>
    <s v="Incoming"/>
    <s v="PE"/>
    <x v="8"/>
    <x v="8"/>
    <n v="1"/>
    <s v="SD 卡弹性不足,（报错932401）hold 在rework 待确认。2015/1/7 (周三) 16:42"/>
  </r>
  <r>
    <s v="TSG_MLDL_PF"/>
    <n v="313862800"/>
    <n v="1115261528"/>
    <s v="E7W73A"/>
    <s v="HP StoreEasy 1440 12TB SATA Storage"/>
    <n v="1"/>
    <s v="4SHT42014024"/>
    <d v="2015-01-06T17:28:29"/>
    <d v="2015-01-09T00:00:00"/>
    <d v="2015-01-08T15:22:15"/>
    <d v="2015-01-07T09:17:00"/>
    <d v="2015-01-07T16:14:32"/>
    <d v="2015-01-08T13:07:43"/>
    <n v="27.845277777698357"/>
    <n v="45.89611111121485"/>
    <x v="0"/>
    <n v="15.808611111191567"/>
    <n v="2.2422222223249264"/>
    <x v="0"/>
    <m/>
    <m/>
    <x v="0"/>
    <x v="0"/>
    <n v="1"/>
    <m/>
  </r>
  <r>
    <s v="TSG_MLDL_PF"/>
    <n v="313885021"/>
    <n v="1115291220"/>
    <s v="719064-B21 #AKM"/>
    <s v="HP DL380 Gen9 8SFF CTO Server"/>
    <n v="2"/>
    <s v="4SHT42013321"/>
    <d v="2015-01-06T15:11:23"/>
    <d v="2015-01-12T00:00:00"/>
    <d v="2015-01-08T16:42:13"/>
    <d v="2015-01-07T09:17:00"/>
    <d v="2015-01-07T15:34:05"/>
    <d v="2015-01-08T15:17:19"/>
    <n v="30.005277777789161"/>
    <n v="49.513888888817746"/>
    <x v="0"/>
    <n v="18.093611111165956"/>
    <n v="1.4149999998626299"/>
    <x v="0"/>
    <m/>
    <m/>
    <x v="0"/>
    <x v="0"/>
    <n v="1"/>
    <m/>
  </r>
  <r>
    <s v="TSG_MLDL_PF"/>
    <n v="313872786"/>
    <n v="1115277549"/>
    <s v="654081-B21 #AKM"/>
    <s v="HP DL360p Gen8 8-SFF CTO Server"/>
    <n v="1"/>
    <s v="4SHT42012934"/>
    <d v="2015-01-06T13:36:13"/>
    <d v="2015-01-09T00:00:00"/>
    <d v="2015-01-08T13:46:20"/>
    <d v="2015-01-07T14:30:00"/>
    <d v="2015-01-07T16:27:07"/>
    <d v="2015-01-08T11:36:42"/>
    <n v="21.111666666751262"/>
    <n v="48.168611111235805"/>
    <x v="0"/>
    <n v="24.896388888882939"/>
    <n v="2.1605555556016043"/>
    <x v="0"/>
    <m/>
    <m/>
    <x v="0"/>
    <x v="0"/>
    <n v="1"/>
    <s v="cic"/>
  </r>
  <r>
    <s v="TSG_MLDL_PF"/>
    <n v="313867170"/>
    <n v="1115269696"/>
    <s v="654081-B21 #AKM"/>
    <s v="HP DL360p Gen8 8-SFF CTO Server"/>
    <n v="1"/>
    <s v="4SHT42012933"/>
    <d v="2015-01-06T13:36:23"/>
    <d v="2015-01-09T00:00:00"/>
    <d v="2015-01-08T13:46:20"/>
    <d v="2015-01-07T14:30:00"/>
    <d v="2015-01-07T16:29:11"/>
    <d v="2015-01-08T11:36:27"/>
    <n v="21.107499999983702"/>
    <n v="48.165833333332557"/>
    <x v="0"/>
    <n v="24.893611110979691"/>
    <n v="2.1647222223691642"/>
    <x v="0"/>
    <m/>
    <m/>
    <x v="0"/>
    <x v="0"/>
    <n v="1"/>
    <s v="cic"/>
  </r>
  <r>
    <s v="TSG_BLD_PF"/>
    <n v="313889220"/>
    <n v="1115296431"/>
    <s v="735151-B21"/>
    <s v="HP BL460c Gen8 E5-v2 10/20Gb CTO Blade"/>
    <n v="2"/>
    <s v="4SHT42012537"/>
    <d v="2015-01-06T11:56:19"/>
    <d v="2015-01-09T00:00:00"/>
    <d v="2015-01-08T14:18:09"/>
    <d v="2015-01-06T21:30:00"/>
    <d v="2015-01-07T08:38:34"/>
    <d v="2015-01-08T01:16:54"/>
    <n v="27.781666666560341"/>
    <n v="50.363888888969086"/>
    <x v="0"/>
    <n v="9.5613888889783993"/>
    <n v="13.020833333430346"/>
    <x v="0"/>
    <m/>
    <m/>
    <x v="0"/>
    <x v="0"/>
    <n v="1"/>
    <m/>
  </r>
  <r>
    <s v="TSG_MLDL_PF"/>
    <n v="313885587"/>
    <n v="1115291966"/>
    <s v="669253-B21 #AKM"/>
    <s v="HP DL380e Gen8 8SFF CTO Server"/>
    <n v="4"/>
    <s v="4SHT42011120"/>
    <d v="2015-01-06T01:10:11"/>
    <d v="2015-01-12T00:00:00"/>
    <d v="2015-01-09T02:12:17"/>
    <d v="2015-01-07T09:17:00"/>
    <d v="2015-01-07T12:32:36"/>
    <d v="2015-01-08T23:59:38"/>
    <n v="38.710555555473547"/>
    <n v="73.035000000090804"/>
    <x v="2"/>
    <n v="32.113611111184582"/>
    <n v="2.2108333334326744"/>
    <x v="4"/>
    <s v="shortage"/>
    <s v="Buyer"/>
    <x v="5"/>
    <x v="5"/>
    <n v="1"/>
    <s v="short 725139-001"/>
  </r>
  <r>
    <s v="TSG_MLDL_PF"/>
    <n v="313885586"/>
    <n v="1115291965"/>
    <s v="669253-B21 #AKM"/>
    <s v="HP DL380e Gen8 8SFF CTO Server"/>
    <n v="2"/>
    <s v="4SHT42011119"/>
    <d v="2015-01-06T01:10:12"/>
    <d v="2015-01-12T00:00:00"/>
    <d v="2015-01-08T03:05:00"/>
    <d v="2015-01-07T09:17:00"/>
    <d v="2015-01-07T12:23:31"/>
    <d v="2015-01-08T00:11:15"/>
    <n v="14.90416666661622"/>
    <n v="49.913333333213814"/>
    <x v="0"/>
    <n v="32.11333333334187"/>
    <n v="2.8958333332557231"/>
    <x v="0"/>
    <m/>
    <m/>
    <x v="0"/>
    <x v="0"/>
    <n v="1"/>
    <s v="short 725139-001"/>
  </r>
  <r>
    <s v="TSG_MLDL_PF"/>
    <n v="313885585"/>
    <n v="1115291964"/>
    <s v="669253-B21 #AKM"/>
    <s v="HP DL380e Gen8 8SFF CTO Server"/>
    <n v="2"/>
    <s v="4SHT42011118"/>
    <d v="2015-01-06T01:10:12"/>
    <d v="2015-01-12T00:00:00"/>
    <d v="2015-01-08T15:22:16"/>
    <d v="2015-01-07T09:17:00"/>
    <d v="2015-01-07T14:18:27"/>
    <d v="2015-01-08T13:30:07"/>
    <n v="28.218611110991333"/>
    <n v="62.201111111033242"/>
    <x v="2"/>
    <n v="32.11333333334187"/>
    <n v="1.8691666667000391"/>
    <x v="4"/>
    <s v="shortage"/>
    <s v="Buyer"/>
    <x v="5"/>
    <x v="5"/>
    <n v="1"/>
    <s v="short 725139-001"/>
  </r>
  <r>
    <s v="TSG_MLDL_PF"/>
    <n v="313879309"/>
    <n v="1115283085"/>
    <s v="703586-B21 #AKM"/>
    <s v="HP DL580R07 CN CTO Server"/>
    <n v="6"/>
    <s v="4SHT42011093"/>
    <d v="2015-01-06T01:08:10"/>
    <d v="2015-01-12T00:00:00"/>
    <d v="2015-01-09T04:02:18"/>
    <d v="2015-01-07T09:17:00"/>
    <d v="2015-01-07T11:49:26"/>
    <d v="2015-01-09T01:44:20"/>
    <n v="40.455555555468891"/>
    <n v="74.902222222241107"/>
    <x v="2"/>
    <n v="32.147222222294658"/>
    <n v="2.2994444444775581"/>
    <x v="4"/>
    <s v="shortage"/>
    <s v="Buyer"/>
    <x v="5"/>
    <x v="5"/>
    <n v="1"/>
    <s v="short 665249-B21@@ 696178-001"/>
  </r>
  <r>
    <s v="TSG_MLDL_PF"/>
    <n v="313879309"/>
    <n v="1115283084"/>
    <s v="703586-B21 #AKM"/>
    <s v="HP DL580R07 CN CTO Server"/>
    <n v="7"/>
    <s v="4SHT42011093"/>
    <d v="2015-01-06T01:07:02"/>
    <d v="2015-01-12T00:00:00"/>
    <d v="2015-01-09T04:02:18"/>
    <d v="2015-01-06T06:52:00"/>
    <d v="2015-01-06T15:16:35"/>
    <d v="2015-01-07T16:06:50"/>
    <n v="33.247222222213168"/>
    <n v="74.921111111179926"/>
    <x v="2"/>
    <n v="5.7494444445474073"/>
    <n v="35.92444444441935"/>
    <x v="3"/>
    <s v="Group order"/>
    <s v="WH"/>
    <x v="5"/>
    <x v="5"/>
    <n v="1"/>
    <m/>
  </r>
  <r>
    <s v="TSG_MLDL_PF"/>
    <n v="313820878"/>
    <n v="1115199810"/>
    <s v="653200-B21 #AKM"/>
    <s v="HP DL380p Gen8 8-SFF CTO Server"/>
    <n v="20"/>
    <s v="4SHT42011073"/>
    <d v="2015-01-06T01:07:11"/>
    <d v="2015-01-12T00:00:00"/>
    <d v="2015-01-08T09:15:06"/>
    <d v="2015-01-06T21:30:00"/>
    <d v="2015-01-07T00:18:21"/>
    <d v="2015-01-08T01:33:33"/>
    <n v="28.05916666664416"/>
    <n v="56.131944444437977"/>
    <x v="0"/>
    <n v="20.380277777847368"/>
    <n v="7.692499999946449"/>
    <x v="0"/>
    <m/>
    <m/>
    <x v="0"/>
    <x v="0"/>
    <n v="1"/>
    <s v="short 665249-B21@@"/>
  </r>
  <r>
    <s v="TSG_MLDL_PF"/>
    <n v="313887437"/>
    <n v="1115295622"/>
    <s v="654081-B21 #AKM"/>
    <s v="HP DL360p Gen8 8-SFF CTO Server"/>
    <n v="1"/>
    <s v="4SHT42010329"/>
    <d v="2015-01-05T23:39:07"/>
    <d v="2015-01-08T00:00:00"/>
    <d v="2015-01-07T11:44:55"/>
    <d v="2015-01-06T06:52:00"/>
    <d v="2015-01-06T15:07:57"/>
    <d v="2015-01-07T09:40:33"/>
    <n v="26.809166666585952"/>
    <n v="36.096666666737292"/>
    <x v="0"/>
    <n v="7.2147222222411074"/>
    <n v="2.0727777779102325"/>
    <x v="0"/>
    <m/>
    <m/>
    <x v="0"/>
    <x v="0"/>
    <n v="1"/>
    <m/>
  </r>
  <r>
    <s v="TSG_MLDL_PF"/>
    <n v="313887243"/>
    <n v="1115292509"/>
    <s v="653200-B21 #AKM"/>
    <s v="HP DL380p Gen8 8-SFF CTO Server"/>
    <n v="6"/>
    <s v="4SHT42009768"/>
    <d v="2015-01-05T19:20:04"/>
    <d v="2015-01-08T00:00:00"/>
    <d v="2015-01-08T00:10:59"/>
    <d v="2015-01-06T06:52:00"/>
    <d v="2015-01-06T15:58:17"/>
    <d v="2015-01-07T21:48:04"/>
    <n v="38.934444444486871"/>
    <n v="52.848611111054197"/>
    <x v="0"/>
    <n v="11.532222222187556"/>
    <n v="2.3819444443797693"/>
    <x v="0"/>
    <m/>
    <m/>
    <x v="0"/>
    <x v="0"/>
    <n v="1"/>
    <m/>
  </r>
  <r>
    <s v="TSG_MLDL_PF"/>
    <n v="313887243"/>
    <n v="1115293912"/>
    <s v="653200-B21 #AKM"/>
    <s v="HP DL380p Gen8 8-SFF CTO Server"/>
    <n v="1"/>
    <s v="4SHT42009768"/>
    <d v="2015-01-05T19:19:06"/>
    <d v="2015-01-08T00:00:00"/>
    <d v="2015-01-08T00:10:59"/>
    <d v="2015-01-06T06:52:00"/>
    <d v="2015-01-06T15:09:39"/>
    <d v="2015-01-07T01:56:48"/>
    <n v="19.07999999995809"/>
    <n v="52.86472222226439"/>
    <x v="0"/>
    <n v="11.54833333339775"/>
    <n v="22.23638888890855"/>
    <x v="0"/>
    <m/>
    <m/>
    <x v="0"/>
    <x v="0"/>
    <n v="1"/>
    <m/>
  </r>
  <r>
    <s v="TSG_MLDL_PF"/>
    <n v="313887242"/>
    <n v="1115292510"/>
    <s v="653200-B21 #AKM"/>
    <s v="HP DL380p Gen8 8-SFF CTO Server"/>
    <n v="20"/>
    <s v="4SHT42008848"/>
    <d v="2015-01-05T17:01:03"/>
    <d v="2015-01-08T00:00:00"/>
    <d v="2015-01-09T10:19:31"/>
    <d v="2015-01-06T10:11:00"/>
    <d v="2015-01-06T13:25:08"/>
    <d v="2015-01-07T01:51:23"/>
    <n v="15.673055555555038"/>
    <n v="89.307777777838055"/>
    <x v="2"/>
    <n v="17.165833333390765"/>
    <n v="56.468888888892252"/>
    <x v="3"/>
    <s v="PGI"/>
    <s v="WH"/>
    <x v="3"/>
    <x v="3"/>
    <n v="1"/>
    <m/>
  </r>
  <r>
    <s v="TSG_MLDL_PF"/>
    <n v="313887242"/>
    <n v="1115292508"/>
    <s v="665553-B21 #AKM"/>
    <s v="HP DL380p Gen8 8-LFF CTO Server"/>
    <n v="40"/>
    <s v="4SHT42008848"/>
    <d v="2015-01-05T17:03:04"/>
    <d v="2015-01-08T00:00:00"/>
    <d v="2015-01-09T10:19:31"/>
    <d v="2015-01-06T10:11:00"/>
    <d v="2015-01-06T13:41:16"/>
    <d v="2015-01-07T10:48:51"/>
    <n v="24.630833333241753"/>
    <n v="89.274166666727979"/>
    <x v="2"/>
    <n v="17.132222222280689"/>
    <n v="47.511111111205537"/>
    <x v="3"/>
    <s v="PGI"/>
    <s v="WH"/>
    <x v="3"/>
    <x v="3"/>
    <n v="1"/>
    <m/>
  </r>
  <r>
    <s v="TSG_MLDL_PF"/>
    <n v="313877690"/>
    <n v="1115284120"/>
    <s v="719064-B21 #AKM"/>
    <s v="HP DL380 Gen9 8SFF CTO Server"/>
    <n v="3"/>
    <s v="4SHT42008543"/>
    <d v="2015-01-05T15:48:51"/>
    <d v="2015-01-08T00:00:00"/>
    <d v="2015-01-07T18:37:54"/>
    <d v="2015-01-06T10:11:00"/>
    <d v="2015-01-06T13:15:05"/>
    <d v="2015-01-07T10:59:20"/>
    <n v="24.805555555620231"/>
    <n v="50.817499999946449"/>
    <x v="0"/>
    <n v="18.369166666700039"/>
    <n v="7.6427777776261792"/>
    <x v="0"/>
    <m/>
    <m/>
    <x v="0"/>
    <x v="0"/>
    <n v="1"/>
    <m/>
  </r>
  <r>
    <s v="TSG_MLDL_PF"/>
    <n v="313877690"/>
    <n v="1115284121"/>
    <s v="719064-B21 #AKM"/>
    <s v="HP DL380 Gen9 8SFF CTO Server"/>
    <n v="1"/>
    <s v="4SHT42008543"/>
    <d v="2015-01-05T15:48:53"/>
    <d v="2015-01-08T00:00:00"/>
    <d v="2015-01-07T18:37:54"/>
    <d v="2015-01-06T10:11:00"/>
    <d v="2015-01-06T13:30:35"/>
    <d v="2015-01-07T10:27:38"/>
    <n v="24.277222222241107"/>
    <n v="50.816944444435649"/>
    <x v="0"/>
    <n v="18.368611111189239"/>
    <n v="8.1711111110053025"/>
    <x v="0"/>
    <m/>
    <m/>
    <x v="0"/>
    <x v="0"/>
    <n v="1"/>
    <m/>
  </r>
  <r>
    <s v="TSG_MLDL_PF"/>
    <n v="313883947"/>
    <n v="1115291462"/>
    <s v="K8J79A"/>
    <s v="HP DL380e Gen8 E5-2420 TC0914 Spcl Svr"/>
    <n v="30"/>
    <s v="4SHT42007742"/>
    <d v="2015-01-05T12:54:53"/>
    <d v="2015-01-12T00:00:00"/>
    <d v="2015-01-09T01:08:16"/>
    <d v="2015-01-06T00:12:00"/>
    <d v="2015-01-06T03:00:38"/>
    <d v="2015-01-08T10:32:04"/>
    <n v="58.334444444510154"/>
    <n v="84.223055555659812"/>
    <x v="2"/>
    <n v="11.2852777778171"/>
    <n v="14.603333333332557"/>
    <x v="3"/>
    <s v="Group order"/>
    <s v="WH"/>
    <x v="4"/>
    <x v="4"/>
    <n v="1"/>
    <s v="CIC"/>
  </r>
  <r>
    <s v="TSG_MLDL_PF"/>
    <n v="313883947"/>
    <n v="1115291465"/>
    <s v="K8J79A"/>
    <s v="HP DL380e Gen8 E5-2420 TC0914 Spcl Svr"/>
    <n v="20"/>
    <s v="4SHT42007742"/>
    <d v="2015-01-05T12:55:48"/>
    <d v="2015-01-12T00:00:00"/>
    <d v="2015-01-09T01:08:16"/>
    <d v="2015-01-06T00:12:00"/>
    <d v="2015-01-06T05:02:26"/>
    <d v="2015-01-08T12:02:59"/>
    <n v="59.849722222192213"/>
    <n v="84.20777777780313"/>
    <x v="2"/>
    <n v="11.269999999960419"/>
    <n v="13.088055555650499"/>
    <x v="3"/>
    <s v="Group order"/>
    <s v="WH"/>
    <x v="4"/>
    <x v="4"/>
    <n v="1"/>
    <s v="CIC"/>
  </r>
  <r>
    <s v="TSG_MLDL_PF"/>
    <n v="313883947"/>
    <n v="1115291463"/>
    <s v="K8J79A"/>
    <s v="HP DL380e Gen8 E5-2420 TC0914 Spcl Svr"/>
    <n v="30"/>
    <s v="4SHT42007742"/>
    <d v="2015-01-05T12:53:57"/>
    <d v="2015-01-12T00:00:00"/>
    <d v="2015-01-09T01:08:16"/>
    <d v="2015-01-06T00:12:00"/>
    <d v="2015-01-06T02:58:39"/>
    <d v="2015-01-08T12:36:05"/>
    <n v="60.401388888945803"/>
    <n v="84.238611111184582"/>
    <x v="2"/>
    <n v="11.30083333334187"/>
    <n v="12.536388888896909"/>
    <x v="3"/>
    <s v="Group order"/>
    <s v="WH"/>
    <x v="4"/>
    <x v="4"/>
    <n v="1"/>
    <s v="CIC"/>
  </r>
  <r>
    <s v="TSG_MLDL_PF"/>
    <n v="313883947"/>
    <n v="1115291461"/>
    <s v="K8J79A"/>
    <s v="HP DL380e Gen8 E5-2420 TC0914 Spcl Svr"/>
    <n v="30"/>
    <s v="4SHT42007742"/>
    <d v="2015-01-05T12:53:57"/>
    <d v="2015-01-12T00:00:00"/>
    <d v="2015-01-09T01:08:16"/>
    <d v="2015-01-06T00:12:00"/>
    <d v="2015-01-06T09:15:43"/>
    <d v="2015-01-08T12:38:16"/>
    <n v="60.437777777784504"/>
    <n v="84.238611111184582"/>
    <x v="2"/>
    <n v="11.30083333334187"/>
    <n v="12.500000000058208"/>
    <x v="3"/>
    <s v="Group order"/>
    <s v="WH"/>
    <x v="4"/>
    <x v="4"/>
    <n v="1"/>
    <s v="CIC"/>
  </r>
  <r>
    <s v="TSG_MLDL_PF"/>
    <n v="313883947"/>
    <n v="1115291464"/>
    <s v="K8J79A"/>
    <s v="HP DL380e Gen8 E5-2420 TC0914 Spcl Svr"/>
    <n v="30"/>
    <s v="4SHT42007742"/>
    <d v="2015-01-05T12:55:49"/>
    <d v="2015-01-12T00:00:00"/>
    <d v="2015-01-09T01:08:16"/>
    <d v="2015-01-06T02:12:00"/>
    <d v="2015-01-06T04:21:10"/>
    <d v="2015-01-08T21:13:47"/>
    <n v="67.02972222212702"/>
    <n v="84.207499999960419"/>
    <x v="1"/>
    <n v="13.269722222175915"/>
    <n v="3.9080555556574836"/>
    <x v="1"/>
    <s v="MI Issue"/>
    <s v="Line"/>
    <x v="4"/>
    <x v="4"/>
    <n v="1"/>
    <s v="CIC+6CU5025YMH：MI换料重跑测试"/>
  </r>
  <r>
    <s v="TSG_MLDL_PF"/>
    <n v="313877604"/>
    <n v="1115279375"/>
    <s v="665553-B21 #AKM"/>
    <s v="HP DL380p Gen8 8-LFF CTO Server"/>
    <n v="1"/>
    <s v="4SHT42006165"/>
    <d v="2015-01-05T02:13:48"/>
    <d v="2015-01-09T00:00:00"/>
    <d v="2015-01-08T15:22:16"/>
    <d v="2015-01-06T07:00:00"/>
    <d v="2015-01-06T11:01:03"/>
    <d v="2015-01-06T22:11:31"/>
    <n v="15.191944444435649"/>
    <n v="85.141111111035571"/>
    <x v="2"/>
    <n v="28.769999999902211"/>
    <n v="41.179166666697711"/>
    <x v="3"/>
    <s v="PGI"/>
    <s v="WH"/>
    <x v="3"/>
    <x v="3"/>
    <n v="1"/>
    <m/>
  </r>
  <r>
    <s v="TSG_MLDL_PF"/>
    <n v="313877604"/>
    <n v="1115279374"/>
    <s v="665553-B21 #AKM"/>
    <s v="HP DL380p Gen8 8-LFF CTO Server"/>
    <n v="1"/>
    <s v="4SHT42006165"/>
    <d v="2015-01-05T02:13:38"/>
    <d v="2015-01-09T00:00:00"/>
    <d v="2015-01-08T15:22:16"/>
    <d v="2015-01-06T07:00:00"/>
    <d v="2015-01-06T10:50:04"/>
    <d v="2015-01-06T22:11:52"/>
    <n v="15.197777777910233"/>
    <n v="85.143888888938818"/>
    <x v="2"/>
    <n v="28.772777777805459"/>
    <n v="41.173333333223127"/>
    <x v="3"/>
    <s v="PGI"/>
    <s v="WH"/>
    <x v="3"/>
    <x v="3"/>
    <n v="1"/>
    <m/>
  </r>
  <r>
    <s v="TSG_MLDL_PF"/>
    <n v="313877604"/>
    <n v="1115279373"/>
    <s v="665553-B21 #AKM"/>
    <s v="HP DL380p Gen8 8-LFF CTO Server"/>
    <n v="3"/>
    <s v="4SHT42006165"/>
    <d v="2015-01-05T02:13:46"/>
    <d v="2015-01-09T00:00:00"/>
    <d v="2015-01-08T15:22:16"/>
    <d v="2015-01-06T07:00:00"/>
    <d v="2015-01-06T11:03:42"/>
    <d v="2015-01-06T22:15:19"/>
    <n v="15.255277777905576"/>
    <n v="85.141666666546371"/>
    <x v="2"/>
    <n v="28.770555555413011"/>
    <n v="41.115833333227783"/>
    <x v="3"/>
    <s v="PGI"/>
    <s v="WH"/>
    <x v="3"/>
    <x v="3"/>
    <n v="1"/>
    <m/>
  </r>
  <r>
    <s v="TSG_MLDL_PF"/>
    <n v="313877604"/>
    <n v="1115279372"/>
    <s v="669257-B21 #AKM"/>
    <s v="HP DL380e Gen8 12LFF CTO Server"/>
    <n v="1"/>
    <s v="4SHT42006165"/>
    <d v="2015-01-05T02:13:38"/>
    <d v="2015-01-09T00:00:00"/>
    <d v="2015-01-08T15:22:16"/>
    <d v="2015-01-06T07:00:00"/>
    <d v="2015-01-06T12:15:44"/>
    <d v="2015-01-07T01:35:01"/>
    <n v="18.583611111156642"/>
    <n v="85.143888888938818"/>
    <x v="2"/>
    <n v="28.772777777805459"/>
    <n v="37.787499999976717"/>
    <x v="3"/>
    <s v="PGI"/>
    <s v="WH"/>
    <x v="3"/>
    <x v="3"/>
    <n v="1"/>
    <m/>
  </r>
  <r>
    <s v="TSG_MLDL_PF"/>
    <n v="313877604"/>
    <n v="1115279371"/>
    <s v="669257-B21 #AKM"/>
    <s v="HP DL380e Gen8 12LFF CTO Server"/>
    <n v="1"/>
    <s v="4SHT42006165"/>
    <d v="2015-01-05T02:06:46"/>
    <d v="2015-01-09T00:00:00"/>
    <d v="2015-01-08T15:22:16"/>
    <d v="2015-01-06T07:00:00"/>
    <d v="2015-01-06T12:12:22"/>
    <d v="2015-01-07T14:35:19"/>
    <n v="31.588611111219507"/>
    <n v="85.258333333244082"/>
    <x v="2"/>
    <n v="28.887222222110722"/>
    <n v="24.782499999913853"/>
    <x v="3"/>
    <s v="PGI"/>
    <s v="WH"/>
    <x v="3"/>
    <x v="3"/>
    <n v="1"/>
    <m/>
  </r>
  <r>
    <s v="TSG_MLDL_PF"/>
    <n v="313873203"/>
    <n v="1115272098"/>
    <s v="719064-B21 #AKM"/>
    <s v="HP DL380 Gen9 8SFF CTO Server"/>
    <n v="1"/>
    <s v="4SHT42006160"/>
    <d v="2015-01-05T02:06:38"/>
    <d v="2015-01-09T00:00:00"/>
    <d v="2015-01-10T19:32:48"/>
    <d v="2015-01-06T07:00:00"/>
    <d v="2015-01-06T12:33:43"/>
    <d v="2015-01-07T01:35:21"/>
    <n v="18.589166666788515"/>
    <n v="137.43611111113569"/>
    <x v="2"/>
    <n v="28.889444444328547"/>
    <n v="89.957500000018626"/>
    <x v="3"/>
    <s v="Group order"/>
    <s v="WH"/>
    <x v="9"/>
    <x v="9"/>
    <n v="1"/>
    <m/>
  </r>
  <r>
    <s v="TSG_BLD_PF"/>
    <n v="313873203"/>
    <n v="1115272097"/>
    <s v="727021-B21"/>
    <s v="HP BL460c Gen9 10Gb/20Gb FLB CTO Blade"/>
    <n v="1"/>
    <s v="4SHT42006160"/>
    <d v="2015-01-05T02:06:46"/>
    <d v="2015-01-09T00:00:00"/>
    <d v="2015-01-10T19:32:48"/>
    <d v="2015-01-07T13:07:00"/>
    <d v="2015-01-07T15:39:04"/>
    <d v="2015-01-10T17:07:19"/>
    <n v="76.005277777730953"/>
    <n v="137.43388888891786"/>
    <x v="1"/>
    <n v="59.003888888808433"/>
    <n v="2.4247222223784775"/>
    <x v="1"/>
    <s v="rework"/>
    <s v="Line"/>
    <x v="9"/>
    <x v="9"/>
    <n v="1"/>
    <s v="short 764282-B21@@+6CU5015Y2J：pre-test报不启动，更换主板后重测pass+刀片无夜班生产"/>
  </r>
  <r>
    <s v="TSG_BLD_PF"/>
    <n v="313872553"/>
    <n v="1115272078"/>
    <s v="735151-B21"/>
    <s v="HP BL460c Gen8 E5-v2 10/20Gb CTO Blade"/>
    <n v="3"/>
    <s v="4SHT42006159"/>
    <d v="2015-01-05T02:06:40"/>
    <d v="2015-01-09T00:00:00"/>
    <d v="2015-01-07T06:12:48"/>
    <d v="2015-01-06T04:30:00"/>
    <d v="2015-01-06T10:47:50"/>
    <d v="2015-01-07T03:09:43"/>
    <n v="22.661944444407709"/>
    <n v="52.102222222136334"/>
    <x v="0"/>
    <n v="26.388888888875954"/>
    <n v="3.0513888888526708"/>
    <x v="0"/>
    <m/>
    <m/>
    <x v="0"/>
    <x v="0"/>
    <n v="1"/>
    <m/>
  </r>
  <r>
    <s v="TSG_MLDL_PF"/>
    <n v="313872553"/>
    <n v="1115272079"/>
    <s v="728551-B21 #AKM"/>
    <s v="HP DL580 Gen8 CTO Svr"/>
    <n v="3"/>
    <s v="4SHT42006159"/>
    <d v="2015-01-05T02:06:38"/>
    <d v="2015-01-09T00:00:00"/>
    <d v="2015-01-07T06:12:49"/>
    <d v="2015-01-06T07:00:00"/>
    <d v="2015-01-06T13:11:20"/>
    <d v="2015-01-07T01:54:37"/>
    <n v="18.910277777875308"/>
    <n v="52.103055555489846"/>
    <x v="0"/>
    <n v="28.889444444328547"/>
    <n v="4.3033333332859911"/>
    <x v="0"/>
    <m/>
    <m/>
    <x v="0"/>
    <x v="0"/>
    <n v="1"/>
    <m/>
  </r>
  <r>
    <s v="TSG_ENCL_PF"/>
    <n v="313872553"/>
    <n v="1115272080"/>
    <s v="681840-B21"/>
    <s v="HP BLc7000 1PH 2PS 4Fan Trl IC Plat Encl"/>
    <n v="1"/>
    <s v="4SHT42006159"/>
    <d v="2015-01-05T02:06:39"/>
    <d v="2015-01-09T00:00:00"/>
    <d v="2015-01-07T06:12:49"/>
    <d v="2015-01-06T08:47:00"/>
    <d v="2015-01-06T09:44:23"/>
    <d v="2015-01-07T04:34:04"/>
    <n v="19.784444444405381"/>
    <n v="52.102777777821757"/>
    <x v="0"/>
    <n v="30.672500000044238"/>
    <n v="1.6458333333721384"/>
    <x v="0"/>
    <m/>
    <m/>
    <x v="0"/>
    <x v="0"/>
    <n v="1"/>
    <m/>
  </r>
  <r>
    <s v="TSG_MLDL_PF"/>
    <n v="313886441"/>
    <n v="1115292399"/>
    <s v="653200-B21 #AKM"/>
    <s v="HP DL380p Gen8 8-SFF CTO Server"/>
    <n v="2"/>
    <s v="4SHT42002888"/>
    <d v="2015-01-04T01:57:32"/>
    <d v="2015-01-08T00:00:00"/>
    <d v="2015-01-08T18:17:24"/>
    <d v="2015-01-05T10:52:00"/>
    <d v="2015-01-05T16:56:09"/>
    <d v="2015-01-06T12:34:40"/>
    <n v="25.711111111217178"/>
    <n v="112.33111111109611"/>
    <x v="2"/>
    <n v="32.907777777698357"/>
    <n v="53.712222222180571"/>
    <x v="3"/>
    <s v="PGI"/>
    <s v="WH"/>
    <x v="3"/>
    <x v="3"/>
    <n v="1"/>
    <m/>
  </r>
  <r>
    <s v="TSG_MLDL_PF"/>
    <n v="313885281"/>
    <n v="1115290978"/>
    <s v="653200-B21 #AKM"/>
    <s v="HP DL380p Gen8 8-SFF CTO Server"/>
    <n v="3"/>
    <s v="4SHT42002879"/>
    <d v="2015-01-04T01:57:22"/>
    <d v="2015-01-08T00:00:00"/>
    <d v="2015-01-06T18:50:37"/>
    <d v="2015-01-05T10:52:00"/>
    <d v="2015-01-05T20:48:28"/>
    <d v="2015-01-06T12:43:34"/>
    <n v="25.85944444447523"/>
    <n v="64.887500000128057"/>
    <x v="2"/>
    <n v="32.910555555601604"/>
    <n v="6.1175000000512227"/>
    <x v="3"/>
    <s v="PGI"/>
    <s v="WH"/>
    <x v="3"/>
    <x v="3"/>
    <n v="1"/>
    <m/>
  </r>
  <r>
    <s v="TSG_MLDL_PF"/>
    <n v="313885281"/>
    <n v="1115290979"/>
    <s v="653200-B21 #AKM"/>
    <s v="HP DL380p Gen8 8-SFF CTO Server"/>
    <n v="2"/>
    <s v="4SHT42002879"/>
    <d v="2015-01-04T01:57:22"/>
    <d v="2015-01-08T00:00:00"/>
    <d v="2015-01-06T18:50:37"/>
    <d v="2015-01-05T10:52:00"/>
    <d v="2015-01-05T16:47:27"/>
    <d v="2015-01-06T16:58:01"/>
    <n v="30.100277777819429"/>
    <n v="64.887500000128057"/>
    <x v="2"/>
    <n v="32.910555555601604"/>
    <n v="1.876666666707024"/>
    <x v="2"/>
    <s v="Special"/>
    <s v="Others"/>
    <x v="2"/>
    <x v="2"/>
    <n v="1"/>
    <m/>
  </r>
  <r>
    <s v="TSG_MLDL_PF"/>
    <n v="313884335"/>
    <n v="1115289647"/>
    <s v="665553-B21 #AKM"/>
    <s v="HP DL380p Gen8 8-LFF CTO Server"/>
    <n v="5"/>
    <s v="4SHT42002857"/>
    <d v="2015-01-04T01:54:29"/>
    <d v="2015-01-08T00:00:00"/>
    <d v="2015-01-07T00:54:40"/>
    <d v="2015-01-05T10:52:00"/>
    <d v="2015-01-05T21:35:45"/>
    <d v="2015-01-06T22:28:42"/>
    <n v="35.611666666693054"/>
    <n v="71.003055555454921"/>
    <x v="2"/>
    <n v="32.958611111040227"/>
    <n v="2.4327777777216397"/>
    <x v="2"/>
    <s v="Special"/>
    <s v="Others"/>
    <x v="2"/>
    <x v="2"/>
    <n v="1"/>
    <m/>
  </r>
  <r>
    <s v="TSG_MLDL_PF"/>
    <n v="313883272"/>
    <n v="1115288566"/>
    <s v="767032-B21 #AKM"/>
    <s v="HP DL380 Gen9 24SFF CTO Server"/>
    <n v="1"/>
    <s v="4SHT42002829"/>
    <d v="2015-01-04T01:51:31"/>
    <d v="2015-01-08T00:00:00"/>
    <d v="2015-01-07T15:11:54"/>
    <d v="2015-01-05T10:52:00"/>
    <d v="2015-01-05T16:52:52"/>
    <d v="2015-01-06T12:04:11"/>
    <n v="25.203055555641185"/>
    <n v="85.339722222124692"/>
    <x v="2"/>
    <n v="33.008055555517785"/>
    <n v="27.128611110965721"/>
    <x v="3"/>
    <s v="PGI"/>
    <s v="WH"/>
    <x v="3"/>
    <x v="3"/>
    <n v="1"/>
    <m/>
  </r>
  <r>
    <s v="TSG_MLDL_PF"/>
    <n v="313883272"/>
    <n v="1115288564"/>
    <s v="755258-B21 #AKM"/>
    <s v="HP DL360 Gen9 8SFF CTO Server"/>
    <n v="2"/>
    <s v="4SHT42002829"/>
    <d v="2015-01-05T11:44:46"/>
    <d v="2015-01-08T00:00:00"/>
    <d v="2015-01-07T15:11:54"/>
    <d v="2015-01-06T07:00:00"/>
    <d v="2015-01-06T12:14:13"/>
    <d v="2015-01-07T09:48:17"/>
    <n v="26.804722222324926"/>
    <n v="51.452222222113051"/>
    <x v="0"/>
    <n v="19.253888888808433"/>
    <n v="5.3936111109796911"/>
    <x v="0"/>
    <m/>
    <m/>
    <x v="0"/>
    <x v="0"/>
    <n v="1"/>
    <m/>
  </r>
  <r>
    <s v="TSG_MLDL_PF"/>
    <n v="313883272"/>
    <n v="1115288565"/>
    <s v="755258-B21 #AKM"/>
    <s v="HP DL360 Gen9 8SFF CTO Server"/>
    <n v="1"/>
    <s v="4SHT42002829"/>
    <d v="2015-01-05T11:40:56"/>
    <d v="2015-01-08T00:00:00"/>
    <d v="2015-01-07T15:11:54"/>
    <d v="2015-01-06T07:00:00"/>
    <d v="2015-01-06T12:11:22"/>
    <d v="2015-01-07T12:54:36"/>
    <n v="29.910000000090804"/>
    <n v="51.516111111093778"/>
    <x v="0"/>
    <n v="19.317777777789161"/>
    <n v="2.2883333332138136"/>
    <x v="0"/>
    <m/>
    <m/>
    <x v="0"/>
    <x v="0"/>
    <n v="1"/>
    <m/>
  </r>
  <r>
    <s v="TSG_MLDL_PF"/>
    <n v="313881411"/>
    <n v="1115285306"/>
    <s v="728551-B21 #AKM"/>
    <s v="HP DL580 Gen8 CTO Svr"/>
    <n v="1"/>
    <s v="4SHT42002799"/>
    <d v="2015-01-04T01:46:30"/>
    <d v="2015-01-08T00:00:00"/>
    <d v="2015-01-06T18:02:35"/>
    <d v="2015-01-05T10:52:00"/>
    <d v="2015-01-05T17:01:11"/>
    <d v="2015-01-06T13:40:32"/>
    <n v="26.808888888917863"/>
    <n v="64.268055555468891"/>
    <x v="2"/>
    <n v="33.09166666661622"/>
    <n v="4.3674999999348074"/>
    <x v="3"/>
    <s v="PGI"/>
    <s v="WH"/>
    <x v="3"/>
    <x v="3"/>
    <n v="1"/>
    <m/>
  </r>
  <r>
    <s v="TSG_MLDL_PF"/>
    <n v="313884888"/>
    <n v="1115290365"/>
    <s v="728551-B21 #AKM"/>
    <s v="HP DL580 Gen8 CTO Svr"/>
    <n v="1"/>
    <s v="4SHT42002334"/>
    <d v="2015-01-04T00:25:28"/>
    <d v="2015-01-08T00:00:00"/>
    <d v="2015-01-07T06:12:49"/>
    <d v="2015-01-05T10:52:00"/>
    <d v="2015-01-05T20:49:30"/>
    <d v="2015-01-06T13:40:06"/>
    <n v="26.80166666675359"/>
    <n v="77.789166666625533"/>
    <x v="2"/>
    <n v="34.442222222161945"/>
    <n v="16.545277777709998"/>
    <x v="3"/>
    <s v="PGI"/>
    <s v="WH"/>
    <x v="3"/>
    <x v="3"/>
    <n v="1"/>
    <m/>
  </r>
  <r>
    <s v="TSG_MLDL_PF"/>
    <n v="313884888"/>
    <n v="1115290370"/>
    <s v="653200-B21 #AKM"/>
    <s v="HP DL380p Gen8 8-SFF CTO Server"/>
    <n v="2"/>
    <s v="4SHT42002334"/>
    <d v="2015-01-04T00:25:29"/>
    <d v="2015-01-08T00:00:00"/>
    <d v="2015-01-07T06:12:49"/>
    <d v="2015-01-05T10:52:00"/>
    <d v="2015-01-05T16:33:25"/>
    <d v="2015-01-06T14:23:27"/>
    <n v="27.524166666611563"/>
    <n v="77.788888888957445"/>
    <x v="2"/>
    <n v="34.441944444493856"/>
    <n v="15.822777777852025"/>
    <x v="3"/>
    <s v="PGI"/>
    <s v="WH"/>
    <x v="3"/>
    <x v="3"/>
    <n v="1"/>
    <m/>
  </r>
  <r>
    <s v="TSG_MLDL_PF"/>
    <n v="313884888"/>
    <n v="1115290364"/>
    <s v="728551-B21 #AKM"/>
    <s v="HP DL580 Gen8 CTO Svr"/>
    <n v="2"/>
    <s v="4SHT42002334"/>
    <d v="2015-01-04T00:25:29"/>
    <d v="2015-01-08T00:00:00"/>
    <d v="2015-01-07T06:12:49"/>
    <d v="2015-01-05T10:52:00"/>
    <d v="2015-01-05T20:36:47"/>
    <d v="2015-01-06T17:44:56"/>
    <n v="30.882222222222481"/>
    <n v="77.788888888957445"/>
    <x v="2"/>
    <n v="34.441944444493856"/>
    <n v="12.464722222241107"/>
    <x v="3"/>
    <s v="PGI"/>
    <s v="WH"/>
    <x v="3"/>
    <x v="3"/>
    <n v="1"/>
    <m/>
  </r>
  <r>
    <s v="TSG_ENCL_PF"/>
    <n v="313884888"/>
    <n v="1115290379"/>
    <s v="681840-B21"/>
    <s v="HP BLc7000 1PH 2PS 4Fan Trl IC Plat Encl"/>
    <n v="3"/>
    <s v="4SHT42002334"/>
    <d v="2015-01-04T00:24:29"/>
    <d v="2015-01-08T00:00:00"/>
    <d v="2015-01-07T06:12:49"/>
    <d v="2015-01-05T18:01:00"/>
    <d v="2015-01-06T09:32:07"/>
    <d v="2015-01-07T04:31:53"/>
    <n v="34.514722222171258"/>
    <n v="77.805555555503815"/>
    <x v="2"/>
    <n v="41.608611111121718"/>
    <n v="1.6822222222108394"/>
    <x v="2"/>
    <s v="Special"/>
    <s v="Others"/>
    <x v="2"/>
    <x v="2"/>
    <n v="1"/>
    <m/>
  </r>
  <r>
    <s v="TSG_BLD_PF"/>
    <n v="313884888"/>
    <n v="1115290362"/>
    <s v="735151-B21"/>
    <s v="HP BL460c Gen8 E5-v2 10/20Gb CTO Blade"/>
    <n v="2"/>
    <s v="4SHT42002334"/>
    <d v="2015-01-04T00:24:30"/>
    <d v="2015-01-08T00:00:00"/>
    <d v="2015-01-07T06:12:49"/>
    <d v="2015-01-05T18:01:00"/>
    <d v="2015-01-05T21:56:23"/>
    <d v="2015-01-07T03:09:33"/>
    <n v="33.14249999995809"/>
    <n v="77.805277777835727"/>
    <x v="2"/>
    <n v="41.608333333453629"/>
    <n v="3.0544444444240071"/>
    <x v="2"/>
    <s v="Special"/>
    <s v="Others"/>
    <x v="2"/>
    <x v="2"/>
    <n v="1"/>
    <m/>
  </r>
  <r>
    <s v="TSG_BLD_PF"/>
    <n v="313884888"/>
    <n v="1115290363"/>
    <s v="735151-B21"/>
    <s v="HP BL460c Gen8 E5-v2 10/20Gb CTO Blade"/>
    <n v="8"/>
    <s v="4SHT42002334"/>
    <d v="2015-01-04T00:25:28"/>
    <d v="2015-01-08T00:00:00"/>
    <d v="2015-01-07T06:12:49"/>
    <d v="2015-01-05T18:01:00"/>
    <d v="2015-01-05T21:45:05"/>
    <d v="2015-01-07T03:52:30"/>
    <n v="33.858333333337214"/>
    <n v="77.789166666625533"/>
    <x v="2"/>
    <n v="41.592222222243436"/>
    <n v="2.3386111110448837"/>
    <x v="2"/>
    <s v="Special"/>
    <s v="Others"/>
    <x v="2"/>
    <x v="2"/>
    <n v="1"/>
    <m/>
  </r>
  <r>
    <s v="TSG_BLD_PF"/>
    <n v="313884888"/>
    <n v="1115290361"/>
    <s v="735151-B21"/>
    <s v="HP BL460c Gen8 E5-v2 10/20Gb CTO Blade"/>
    <n v="28"/>
    <s v="4SHT42002334"/>
    <d v="2015-01-04T00:28:27"/>
    <d v="2015-01-08T00:00:00"/>
    <d v="2015-01-07T06:12:49"/>
    <d v="2015-01-05T18:01:00"/>
    <d v="2015-01-05T22:14:28"/>
    <d v="2015-01-07T04:19:05"/>
    <n v="34.301388888910878"/>
    <n v="77.739444444479886"/>
    <x v="2"/>
    <n v="41.542500000097789"/>
    <n v="1.8955555554712191"/>
    <x v="2"/>
    <s v="Special"/>
    <s v="Others"/>
    <x v="2"/>
    <x v="2"/>
    <n v="1"/>
    <m/>
  </r>
  <r>
    <s v="TSG_BLD_PF"/>
    <n v="313884776"/>
    <n v="1115291036"/>
    <s v="735151-B21"/>
    <s v="HP BL460c Gen8 E5-v2 10/20Gb CTO Blade"/>
    <n v="4"/>
    <s v="4SHT41990672"/>
    <d v="2015-01-01T09:54:49"/>
    <d v="2015-01-07T00:00:00"/>
    <d v="2015-01-07T18:37:54"/>
    <d v="2015-01-05T18:01:00"/>
    <d v="2015-01-05T21:55:35"/>
    <d v="2015-01-07T03:09:20"/>
    <n v="33.138888888875954"/>
    <n v="152.71805555548053"/>
    <x v="2"/>
    <n v="104.10305555560626"/>
    <n v="15.476111110998318"/>
    <x v="3"/>
    <s v="PGI"/>
    <s v="WH"/>
    <x v="3"/>
    <x v="3"/>
    <n v="1"/>
    <m/>
  </r>
  <r>
    <s v="TSG_MLDL_PF"/>
    <n v="313883576"/>
    <n v="1115288763"/>
    <s v="722314-B21 #AKM"/>
    <s v="HP DL320e Gen8 v2 Hot Plug 2LFF CTO Svr"/>
    <n v="3"/>
    <s v="4SHT41990653"/>
    <d v="2015-01-01T09:54:58"/>
    <d v="2015-01-07T00:00:00"/>
    <d v="2015-01-06T18:50:39"/>
    <d v="2015-01-05T10:52:00"/>
    <d v="2015-01-05T16:18:17"/>
    <d v="2015-01-06T14:17:11"/>
    <n v="27.419722222199198"/>
    <n v="128.92805555550149"/>
    <x v="2"/>
    <n v="96.950555555464234"/>
    <n v="4.557777777838055"/>
    <x v="3"/>
    <s v="PGI"/>
    <s v="WH"/>
    <x v="3"/>
    <x v="3"/>
    <n v="1"/>
    <m/>
  </r>
  <r>
    <s v="TSG_MLDL_PF"/>
    <n v="313883576"/>
    <n v="1115288762"/>
    <s v="722314-B21 #AKM"/>
    <s v="HP DL320e Gen8 v2 Hot Plug 2LFF CTO Svr"/>
    <n v="1"/>
    <s v="4SHT41990652"/>
    <d v="2015-01-01T09:52:57"/>
    <d v="2015-01-07T00:00:00"/>
    <d v="2015-01-06T18:18:38"/>
    <d v="2015-01-05T10:52:00"/>
    <d v="2015-01-05T16:32:04"/>
    <d v="2015-01-06T15:25:53"/>
    <n v="28.56472222233424"/>
    <n v="128.42805555544328"/>
    <x v="2"/>
    <n v="96.984166666574311"/>
    <n v="2.8791666665347293"/>
    <x v="2"/>
    <s v="Special"/>
    <s v="Others"/>
    <x v="2"/>
    <x v="2"/>
    <n v="1"/>
    <m/>
  </r>
  <r>
    <s v="TSG_MLDL_PF"/>
    <n v="313883576"/>
    <n v="1115288760"/>
    <s v="665554-B21 #AKM"/>
    <s v="HP DL380p Gen8 25-SFF CTO Server"/>
    <n v="4"/>
    <s v="4SHT41990651"/>
    <d v="2015-01-01T09:54:49"/>
    <d v="2015-01-07T00:00:00"/>
    <d v="2015-01-06T18:18:39"/>
    <d v="2015-01-05T10:52:00"/>
    <d v="2015-01-05T21:27:59"/>
    <d v="2015-01-06T12:51:53"/>
    <n v="25.998055555508472"/>
    <n v="128.39722222223645"/>
    <x v="2"/>
    <n v="96.95305555552477"/>
    <n v="5.4461111112032086"/>
    <x v="3"/>
    <s v="PGI"/>
    <s v="WH"/>
    <x v="3"/>
    <x v="3"/>
    <n v="1"/>
    <m/>
  </r>
  <r>
    <s v="TSG_MLDL_PF"/>
    <n v="313885211"/>
    <n v="1115290410"/>
    <s v="653200-B21 #AKM"/>
    <s v="HP DL380p Gen8 8-SFF CTO Server"/>
    <n v="1"/>
    <s v="4SHT41987389"/>
    <d v="2014-12-31T19:06:00"/>
    <d v="2015-01-07T00:00:00"/>
    <d v="2015-01-08T14:18:09"/>
    <d v="2015-01-05T08:30:00"/>
    <d v="2015-01-05T15:08:50"/>
    <d v="2015-01-06T10:27:39"/>
    <n v="25.960833333316259"/>
    <n v="187.20250000013039"/>
    <x v="2"/>
    <n v="109.40000000002328"/>
    <n v="51.841666666790843"/>
    <x v="3"/>
    <s v="PGI"/>
    <s v="WH"/>
    <x v="3"/>
    <x v="3"/>
    <n v="1"/>
    <m/>
  </r>
  <r>
    <s v="TSG_MLDL_PF"/>
    <n v="313884661"/>
    <n v="1115289904"/>
    <s v="665552-B21 #AKM"/>
    <s v="HP DL380p Gen8 12-LFF CTO Server"/>
    <n v="4"/>
    <s v="4SHT41987388"/>
    <d v="2014-12-31T19:06:00"/>
    <d v="2015-01-07T00:00:00"/>
    <d v="2015-01-08T18:17:23"/>
    <d v="2015-01-05T08:30:00"/>
    <d v="2015-01-05T15:28:06"/>
    <d v="2015-01-06T12:01:58"/>
    <n v="27.532777777814772"/>
    <n v="191.18972222227603"/>
    <x v="2"/>
    <n v="109.40000000002328"/>
    <n v="54.256944444437977"/>
    <x v="3"/>
    <s v="PGI"/>
    <s v="WH"/>
    <x v="3"/>
    <x v="3"/>
    <n v="1"/>
    <m/>
  </r>
  <r>
    <s v="TSG_MLDL_PF"/>
    <n v="313884661"/>
    <n v="1115289903"/>
    <s v="665554-B21 #AKM"/>
    <s v="HP DL380p Gen8 25-SFF CTO Server"/>
    <n v="20"/>
    <s v="4SHT41987388"/>
    <d v="2014-12-31T19:07:37"/>
    <d v="2015-01-07T00:00:00"/>
    <d v="2015-01-08T18:17:23"/>
    <d v="2015-01-05T08:30:00"/>
    <d v="2015-01-05T10:28:56"/>
    <d v="2015-01-06T14:37:54"/>
    <n v="30.131666666711681"/>
    <n v="191.16277777781943"/>
    <x v="2"/>
    <n v="109.37305555556668"/>
    <n v="51.658055555541068"/>
    <x v="3"/>
    <s v="PGI"/>
    <s v="WH"/>
    <x v="3"/>
    <x v="3"/>
    <n v="1"/>
    <m/>
  </r>
  <r>
    <s v="TSG_MLDL_PF"/>
    <n v="313885472"/>
    <n v="1115291531"/>
    <s v="754523-B21 #AKM"/>
    <s v="HP DL180 Gen9 8SFF CTO Server"/>
    <n v="2"/>
    <s v="4SHT41987111"/>
    <d v="2014-12-31T17:56:35"/>
    <d v="2015-01-07T00:00:00"/>
    <d v="2015-01-06T05:07:26"/>
    <d v="2015-01-05T08:30:00"/>
    <d v="2015-01-05T12:48:28"/>
    <d v="2015-01-06T02:47:11"/>
    <n v="18.286388888955116"/>
    <n v="131.18083333340473"/>
    <x v="2"/>
    <n v="110.55694444442634"/>
    <n v="2.3375000000232831"/>
    <x v="2"/>
    <s v="Special"/>
    <s v="Others"/>
    <x v="2"/>
    <x v="2"/>
    <n v="1"/>
    <m/>
  </r>
  <r>
    <s v="TSG_MLDL_PF"/>
    <n v="313884123"/>
    <n v="1115288238"/>
    <s v="654081-B21 #AKM"/>
    <s v="HP DL360p Gen8 8-SFF CTO Server"/>
    <n v="1"/>
    <s v="4SHT41987107"/>
    <d v="2014-12-31T17:56:35"/>
    <d v="2015-01-07T00:00:00"/>
    <d v="2015-01-06T14:03:33"/>
    <d v="2015-01-05T08:30:00"/>
    <d v="2015-01-05T15:22:20"/>
    <d v="2015-01-06T12:02:31"/>
    <n v="27.541944444528781"/>
    <n v="140.1161111110705"/>
    <x v="2"/>
    <n v="110.55694444442634"/>
    <n v="2.0172222221153788"/>
    <x v="2"/>
    <s v="Special"/>
    <s v="Others"/>
    <x v="2"/>
    <x v="2"/>
    <n v="1"/>
    <m/>
  </r>
  <r>
    <s v="TSG_MLDL_PF"/>
    <n v="313883148"/>
    <n v="1115287583"/>
    <s v="653200-B21 #AKM"/>
    <s v="HP DL380p Gen8 8-SFF CTO Server"/>
    <n v="10"/>
    <s v="4SHT41987100"/>
    <d v="2014-12-31T17:57:35"/>
    <d v="2015-01-07T00:00:00"/>
    <d v="2015-01-08T14:50:11"/>
    <d v="2015-01-05T08:30:00"/>
    <d v="2015-01-05T12:08:37"/>
    <d v="2015-01-06T03:49:47"/>
    <n v="19.329722222231794"/>
    <n v="188.87666666664882"/>
    <x v="2"/>
    <n v="110.54027777770534"/>
    <n v="59.006666666711681"/>
    <x v="3"/>
    <s v="PGI"/>
    <s v="WH"/>
    <x v="3"/>
    <x v="3"/>
    <n v="1"/>
    <m/>
  </r>
  <r>
    <s v="TSG_MLDL_PF"/>
    <n v="313883148"/>
    <n v="1115287581"/>
    <s v="653200-B21 #AKM"/>
    <s v="HP DL380p Gen8 8-SFF CTO Server"/>
    <n v="6"/>
    <s v="4SHT41987100"/>
    <d v="2014-12-31T17:53:34"/>
    <d v="2015-01-07T00:00:00"/>
    <d v="2015-01-08T14:50:11"/>
    <d v="2015-01-05T08:30:00"/>
    <d v="2015-01-05T12:31:14"/>
    <d v="2015-01-06T04:31:24"/>
    <n v="20.023333333432674"/>
    <n v="188.94361111102626"/>
    <x v="2"/>
    <n v="110.60722222208278"/>
    <n v="58.3130555555108"/>
    <x v="3"/>
    <s v="PGI"/>
    <s v="WH"/>
    <x v="3"/>
    <x v="3"/>
    <n v="1"/>
    <m/>
  </r>
  <r>
    <s v="TSG_MLDL_PF"/>
    <n v="313883148"/>
    <n v="1115287582"/>
    <s v="653200-B21 #AKM"/>
    <s v="HP DL380p Gen8 8-SFF CTO Server"/>
    <n v="12"/>
    <s v="4SHT41987100"/>
    <d v="2014-12-31T17:57:35"/>
    <d v="2015-01-07T00:00:00"/>
    <d v="2015-01-08T14:50:11"/>
    <d v="2015-01-05T08:30:00"/>
    <d v="2015-01-05T13:06:37"/>
    <d v="2015-01-06T13:54:24"/>
    <n v="29.406666666793171"/>
    <n v="188.87666666664882"/>
    <x v="2"/>
    <n v="110.54027777770534"/>
    <n v="48.929722222150303"/>
    <x v="3"/>
    <s v="PGI"/>
    <s v="WH"/>
    <x v="3"/>
    <x v="3"/>
    <n v="1"/>
    <m/>
  </r>
  <r>
    <s v="TSG_MLDL_PF"/>
    <n v="313876169"/>
    <n v="1115280412"/>
    <s v="653200-B21 #AKM"/>
    <s v="HP DL380p Gen8 8-SFF CTO Server"/>
    <n v="32"/>
    <s v="4SHT41987097"/>
    <d v="2014-12-31T17:57:35"/>
    <d v="2015-01-07T00:00:00"/>
    <d v="2015-01-07T01:57:41"/>
    <d v="2015-01-05T08:30:00"/>
    <d v="2015-01-05T10:12:12"/>
    <d v="2015-01-06T23:57:39"/>
    <n v="39.460833333316259"/>
    <n v="152.00166666659061"/>
    <x v="2"/>
    <n v="110.54027777770534"/>
    <n v="2.000555555569008"/>
    <x v="2"/>
    <s v="Special"/>
    <s v="Others"/>
    <x v="2"/>
    <x v="2"/>
    <n v="1"/>
    <s v="hp te 测试用"/>
  </r>
  <r>
    <s v="TSG_MLDL_PF"/>
    <n v="313875843"/>
    <n v="1115278925"/>
    <s v="728551-B21 #AKM"/>
    <s v="HP DL580 Gen8 CTO Svr"/>
    <n v="1"/>
    <s v="4SHT41987046"/>
    <d v="2014-12-31T17:35:36"/>
    <d v="2015-01-07T00:00:00"/>
    <d v="2015-01-08T15:22:15"/>
    <d v="2015-01-06T07:00:00"/>
    <d v="2015-01-06T12:50:15"/>
    <d v="2015-01-08T12:53:29"/>
    <n v="53.891388888994697"/>
    <n v="189.77750000014203"/>
    <x v="2"/>
    <n v="133.40666666667676"/>
    <n v="2.4794444444705732"/>
    <x v="2"/>
    <s v="Special"/>
    <s v="Others"/>
    <x v="2"/>
    <x v="2"/>
    <n v="1"/>
    <s v="cic"/>
  </r>
  <r>
    <s v="TSG_MLDL_PF"/>
    <n v="313885584"/>
    <n v="1115291963"/>
    <s v="661189-B21 #AKM"/>
    <s v="HP DL360e Gen8 8SFF CTO Server"/>
    <n v="2"/>
    <s v="4SHT41986386"/>
    <d v="2014-12-31T15:12:32"/>
    <d v="2015-01-07T00:00:00"/>
    <d v="2015-01-07T23:38:57"/>
    <d v="2015-01-01T02:04:00"/>
    <d v="2015-01-01T06:00:37"/>
    <d v="2015-01-05T13:10:53"/>
    <n v="107.11472222238081"/>
    <n v="176.44027777790325"/>
    <x v="0"/>
    <n v="10.857777777768206"/>
    <n v="58.467777777754236"/>
    <x v="0"/>
    <m/>
    <m/>
    <x v="0"/>
    <x v="0"/>
    <n v="1"/>
    <s v="元旦休息1号到4号"/>
  </r>
  <r>
    <s v="TSG_MLDL_PF"/>
    <n v="313885583"/>
    <n v="1115291962"/>
    <s v="661189-B21 #AKM"/>
    <s v="HP DL360e Gen8 8SFF CTO Server"/>
    <n v="4"/>
    <s v="4SHT41986385"/>
    <d v="2014-12-31T15:11:34"/>
    <d v="2015-01-07T00:00:00"/>
    <d v="2015-01-07T23:38:56"/>
    <d v="2015-01-01T02:04:00"/>
    <d v="2015-01-01T05:53:34"/>
    <d v="2015-01-05T22:15:21"/>
    <n v="116.18916666676523"/>
    <n v="176.45611111109611"/>
    <x v="0"/>
    <n v="10.873888888803776"/>
    <n v="49.393055555527098"/>
    <x v="0"/>
    <m/>
    <m/>
    <x v="0"/>
    <x v="0"/>
    <n v="1"/>
    <s v="元旦休息1号到4号"/>
  </r>
  <r>
    <s v="TSG_BLD_PF"/>
    <n v="313885519"/>
    <n v="1115290578"/>
    <s v="735151-B21"/>
    <s v="HP BL460c Gen8 E5-v2 10/20Gb CTO Blade"/>
    <n v="8"/>
    <s v="4SHT41986384"/>
    <d v="2014-12-31T15:11:08"/>
    <d v="2015-01-07T00:00:00"/>
    <d v="2015-01-09T14:02:39"/>
    <d v="2015-01-05T10:30:00"/>
    <d v="2015-01-05T13:38:56"/>
    <d v="2015-01-07T04:18:51"/>
    <n v="41.814166666707024"/>
    <n v="214.85861111112172"/>
    <x v="2"/>
    <n v="115.31444444437511"/>
    <n v="57.730000000039581"/>
    <x v="3"/>
    <s v="PGI"/>
    <s v="WH"/>
    <x v="3"/>
    <x v="3"/>
    <n v="1"/>
    <m/>
  </r>
  <r>
    <s v="TSG_MLDL_PF"/>
    <n v="313885046"/>
    <n v="1115291254"/>
    <s v="703586-B21 #AKM"/>
    <s v="HP DL580R07 CN CTO Server"/>
    <n v="16"/>
    <s v="4SHT41985724"/>
    <d v="2014-12-31T13:19:31"/>
    <d v="2015-01-07T00:00:00"/>
    <d v="2015-01-06T09:47:33"/>
    <d v="2015-01-01T01:14:00"/>
    <d v="2015-01-01T03:52:47"/>
    <d v="2015-01-06T07:59:47"/>
    <n v="126.76305555563886"/>
    <n v="140.46722222218523"/>
    <x v="0"/>
    <n v="11.908055555541068"/>
    <n v="1.7961111110053025"/>
    <x v="0"/>
    <m/>
    <m/>
    <x v="0"/>
    <x v="0"/>
    <n v="1"/>
    <s v="元旦休息1号到4号"/>
  </r>
  <r>
    <s v="TSG_BLD_PF"/>
    <n v="313883719"/>
    <n v="1115288464"/>
    <s v="735151-B21"/>
    <s v="HP BL460c Gen8 E5-v2 10/20Gb CTO Blade"/>
    <n v="4"/>
    <s v="4SHT41985720"/>
    <d v="2014-12-31T13:17:33"/>
    <d v="2015-01-07T00:00:00"/>
    <d v="2015-01-09T10:19:31"/>
    <d v="2015-01-01T02:04:00"/>
    <d v="2015-01-01T06:01:46"/>
    <d v="2015-01-05T10:25:31"/>
    <n v="104.35861111117993"/>
    <n v="213.03277777775656"/>
    <x v="2"/>
    <n v="12.774166666553356"/>
    <n v="95.900000000023283"/>
    <x v="3"/>
    <s v="PGI"/>
    <s v="WH"/>
    <x v="3"/>
    <x v="3"/>
    <n v="1"/>
    <m/>
  </r>
  <r>
    <s v="TSG_BLD_PF"/>
    <n v="313883719"/>
    <n v="1115288465"/>
    <s v="735151-B21"/>
    <s v="HP BL460c Gen8 E5-v2 10/20Gb CTO Blade"/>
    <n v="2"/>
    <s v="4SHT41985720"/>
    <d v="2014-12-31T13:16:34"/>
    <d v="2015-01-07T00:00:00"/>
    <d v="2015-01-09T10:19:31"/>
    <d v="2015-01-01T02:04:00"/>
    <d v="2015-01-01T05:55:36"/>
    <d v="2015-01-05T10:25:46"/>
    <n v="104.36277777777286"/>
    <n v="213.04916666663485"/>
    <x v="2"/>
    <n v="12.790555555431638"/>
    <n v="95.895833333430346"/>
    <x v="3"/>
    <s v="PGI"/>
    <s v="WH"/>
    <x v="3"/>
    <x v="3"/>
    <n v="1"/>
    <m/>
  </r>
  <r>
    <s v="TSG_BLD_PF"/>
    <n v="313883719"/>
    <n v="1115288463"/>
    <s v="735151-B21"/>
    <s v="HP BL460c Gen8 E5-v2 10/20Gb CTO Blade"/>
    <n v="4"/>
    <s v="4SHT41985720"/>
    <d v="2014-12-31T13:17:34"/>
    <d v="2015-01-07T00:00:00"/>
    <d v="2015-01-09T10:19:31"/>
    <d v="2015-01-01T02:04:00"/>
    <d v="2015-01-01T06:13:09"/>
    <d v="2015-01-05T10:32:00"/>
    <n v="104.46666666667443"/>
    <n v="213.03250000008848"/>
    <x v="2"/>
    <n v="12.773888888885267"/>
    <n v="95.791944444528781"/>
    <x v="3"/>
    <s v="PGI"/>
    <s v="WH"/>
    <x v="3"/>
    <x v="3"/>
    <n v="1"/>
    <m/>
  </r>
  <r>
    <s v="TSG_MLDL_PF"/>
    <n v="313881167"/>
    <n v="1115285204"/>
    <s v="754523-B21 #AKM"/>
    <s v="HP DL180 Gen9 8SFF CTO Server"/>
    <n v="3"/>
    <s v="4SHT41985052"/>
    <d v="2014-12-31T11:07:31"/>
    <d v="2015-01-07T00:00:00"/>
    <d v="2015-01-06T04:51:29"/>
    <d v="2014-12-31T22:53:00"/>
    <d v="2015-01-01T02:08:05"/>
    <d v="2015-01-06T02:46:54"/>
    <n v="123.89833333325805"/>
    <n v="137.73277777782641"/>
    <x v="0"/>
    <n v="11.758055555575993"/>
    <n v="2.0763888889923692"/>
    <x v="0"/>
    <m/>
    <m/>
    <x v="0"/>
    <x v="0"/>
    <n v="1"/>
    <s v="元旦休息1号到4号"/>
  </r>
  <r>
    <s v="TSG_MLDL_PF"/>
    <n v="313877580"/>
    <n v="1115282517"/>
    <s v="728551-B21 #AKM"/>
    <s v="HP DL580 Gen8 CTO Svr"/>
    <n v="1"/>
    <s v="4SHT41984650"/>
    <d v="2014-12-31T09:36:32"/>
    <d v="2015-01-07T00:00:00"/>
    <d v="2015-01-06T09:15:30"/>
    <d v="2015-01-01T02:04:00"/>
    <d v="2015-01-01T05:43:41"/>
    <d v="2015-01-06T06:46:53"/>
    <n v="124.71472222229932"/>
    <n v="143.64944444439607"/>
    <x v="0"/>
    <n v="16.457777777686715"/>
    <n v="2.4769444444100372"/>
    <x v="0"/>
    <m/>
    <m/>
    <x v="0"/>
    <x v="0"/>
    <n v="1"/>
    <s v="元旦休息1号到4号"/>
  </r>
  <r>
    <s v="TSG_BLD_PF"/>
    <n v="313877580"/>
    <n v="1115282512"/>
    <s v="735151-B21"/>
    <s v="HP BL460c Gen8 E5-v2 10/20Gb CTO Blade"/>
    <n v="12"/>
    <s v="4SHT41984649"/>
    <d v="2014-12-31T09:38:29"/>
    <d v="2015-01-07T00:00:00"/>
    <d v="2015-01-05T20:25:21"/>
    <d v="2014-12-31T15:35:00"/>
    <d v="2014-12-31T16:00:43"/>
    <d v="2015-01-05T09:55:30"/>
    <n v="114.34166666673264"/>
    <n v="130.78111111116596"/>
    <x v="0"/>
    <n v="5.9419444444938563"/>
    <n v="10.497499999939464"/>
    <x v="0"/>
    <m/>
    <m/>
    <x v="0"/>
    <x v="0"/>
    <n v="1"/>
    <s v="元旦休息1号到4号"/>
  </r>
  <r>
    <s v="TSG_BLD_PF"/>
    <n v="313877580"/>
    <n v="1115282519"/>
    <s v="727021-B21"/>
    <s v="HP BL460c Gen9 10Gb/20Gb FLB CTO Blade"/>
    <n v="4"/>
    <s v="4SHT41984649"/>
    <d v="2014-12-31T09:36:32"/>
    <d v="2015-01-07T00:00:00"/>
    <d v="2015-01-05T20:25:21"/>
    <d v="2014-12-31T15:35:00"/>
    <d v="2014-12-31T16:25:15"/>
    <d v="2015-01-05T10:28:14"/>
    <n v="114.88722222216893"/>
    <n v="130.81361111107981"/>
    <x v="0"/>
    <n v="5.9744444444077089"/>
    <n v="9.9519444445031695"/>
    <x v="0"/>
    <m/>
    <m/>
    <x v="0"/>
    <x v="0"/>
    <n v="1"/>
    <s v="元旦休息1号到4号"/>
  </r>
  <r>
    <s v="TSG_BLD_PF"/>
    <n v="313877580"/>
    <n v="1115278611"/>
    <s v="735151-B21"/>
    <s v="HP BL460c Gen8 E5-v2 10/20Gb CTO Blade"/>
    <n v="4"/>
    <s v="4SHT41984649"/>
    <d v="2014-12-31T09:31:29"/>
    <d v="2015-01-07T00:00:00"/>
    <d v="2015-01-05T20:25:21"/>
    <d v="2014-12-31T15:35:00"/>
    <d v="2014-12-31T16:17:24"/>
    <d v="2015-01-05T10:32:17"/>
    <n v="114.95472222223179"/>
    <n v="130.89777777768904"/>
    <x v="0"/>
    <n v="6.0586111110169441"/>
    <n v="9.8844444444403052"/>
    <x v="0"/>
    <m/>
    <m/>
    <x v="0"/>
    <x v="0"/>
    <n v="1"/>
    <s v="元旦休息1号到4号"/>
  </r>
  <r>
    <s v="TSG_MLDL_PF"/>
    <n v="313877580"/>
    <n v="1115282518"/>
    <s v="719064-B21 #AKM"/>
    <s v="HP DL380 Gen9 8SFF CTO Server"/>
    <n v="1"/>
    <s v="4SHT41984649"/>
    <d v="2014-12-31T09:36:30"/>
    <d v="2015-01-07T00:00:00"/>
    <d v="2015-01-05T20:25:21"/>
    <d v="2014-12-31T16:23:00"/>
    <d v="2014-12-31T20:55:27"/>
    <d v="2015-01-05T15:07:18"/>
    <n v="118.73833333334187"/>
    <n v="130.81416666659061"/>
    <x v="0"/>
    <n v="6.7749999999068677"/>
    <n v="5.3008333333418705"/>
    <x v="0"/>
    <m/>
    <m/>
    <x v="0"/>
    <x v="0"/>
    <n v="1"/>
    <s v="元旦休息1号到4号"/>
  </r>
  <r>
    <s v="TSG_BLD_PF"/>
    <n v="313877580"/>
    <n v="1115282513"/>
    <s v="735151-B21"/>
    <s v="HP BL460c Gen8 E5-v2 10/20Gb CTO Blade"/>
    <n v="3"/>
    <s v="4SHT41984649"/>
    <d v="2014-12-31T09:36:30"/>
    <d v="2015-01-07T00:00:00"/>
    <d v="2015-01-05T20:25:21"/>
    <d v="2014-12-31T15:35:00"/>
    <d v="2014-12-31T16:21:56"/>
    <d v="2015-01-05T18:26:29"/>
    <n v="122.85805555555271"/>
    <n v="130.81416666659061"/>
    <x v="0"/>
    <n v="5.9749999999185093"/>
    <n v="1.9811111111193895"/>
    <x v="0"/>
    <m/>
    <m/>
    <x v="0"/>
    <x v="0"/>
    <n v="1"/>
    <s v="元旦休息1号到4号"/>
  </r>
  <r>
    <s v="TSG_MLDL_PF"/>
    <n v="313876190"/>
    <n v="1115280463"/>
    <s v="653200-B21 #AKM"/>
    <s v="HP DL380p Gen8 8-SFF CTO Server"/>
    <n v="1"/>
    <s v="4SHT41984646"/>
    <d v="2014-12-31T11:07:41"/>
    <d v="2015-01-07T00:00:00"/>
    <d v="2015-01-05T15:23:37"/>
    <d v="2014-12-31T22:53:00"/>
    <d v="2015-01-01T02:25:53"/>
    <d v="2015-01-05T13:15:13"/>
    <n v="110.37027777777985"/>
    <n v="124.26555555558298"/>
    <x v="0"/>
    <n v="11.755277777847368"/>
    <n v="2.1399999999557622"/>
    <x v="0"/>
    <m/>
    <m/>
    <x v="0"/>
    <x v="0"/>
    <n v="1"/>
    <s v="元旦休息1号到4号"/>
  </r>
  <r>
    <s v="TSG_MLDL_PF"/>
    <n v="313876190"/>
    <n v="1115280462"/>
    <s v="719064-B21 #AKM"/>
    <s v="HP DL380 Gen9 8SFF CTO Server"/>
    <n v="2"/>
    <s v="4SHT41984645"/>
    <d v="2014-12-31T11:08:30"/>
    <d v="2015-01-07T00:00:00"/>
    <d v="2015-01-05T14:35:18"/>
    <d v="2014-12-31T22:53:00"/>
    <d v="2015-01-01T02:55:42"/>
    <d v="2015-01-05T13:01:23"/>
    <n v="110.13972222211305"/>
    <n v="123.4466666666558"/>
    <x v="0"/>
    <n v="11.741666666697711"/>
    <n v="1.56527777784504"/>
    <x v="0"/>
    <m/>
    <m/>
    <x v="0"/>
    <x v="0"/>
    <n v="1"/>
    <s v="元旦休息1号到4号"/>
  </r>
  <r>
    <s v="TSG_MLDL_PF"/>
    <n v="313876190"/>
    <n v="1115280460"/>
    <s v="653200-B21 #AKM"/>
    <s v="HP DL380p Gen8 8-SFF CTO Server"/>
    <n v="4"/>
    <s v="4SHT41984644"/>
    <d v="2014-12-31T11:08:30"/>
    <d v="2015-01-07T00:00:00"/>
    <d v="2015-01-06T09:15:30"/>
    <d v="2014-12-31T22:53:00"/>
    <d v="2015-01-01T02:46:02"/>
    <d v="2015-01-06T08:07:55"/>
    <n v="129.24861111107748"/>
    <n v="142.1166666666395"/>
    <x v="0"/>
    <n v="11.741666666697711"/>
    <n v="1.1263888888643123"/>
    <x v="0"/>
    <m/>
    <m/>
    <x v="0"/>
    <x v="0"/>
    <n v="1"/>
    <s v="元旦休息1号到4号"/>
  </r>
  <r>
    <s v="TSG_MLDL_PF"/>
    <n v="313876190"/>
    <n v="1115280459"/>
    <s v="653200-B21 #AKM"/>
    <s v="HP DL380p Gen8 8-SFF CTO Server"/>
    <n v="5"/>
    <s v="4SHT41984643"/>
    <d v="2014-12-31T11:07:33"/>
    <d v="2015-01-07T00:00:00"/>
    <d v="2015-01-06T04:51:26"/>
    <d v="2014-12-31T22:53:00"/>
    <d v="2015-01-01T02:32:14"/>
    <d v="2015-01-06T01:49:44"/>
    <n v="122.94555555557599"/>
    <n v="137.7313888889621"/>
    <x v="0"/>
    <n v="11.757500000065193"/>
    <n v="3.0283333333209157"/>
    <x v="0"/>
    <m/>
    <m/>
    <x v="0"/>
    <x v="0"/>
    <n v="1"/>
    <s v="元旦休息1号到4号"/>
  </r>
  <r>
    <s v="TSG_MLDL_PF"/>
    <n v="313876190"/>
    <n v="1115280457"/>
    <s v="653200-B21 #AKM"/>
    <s v="HP DL380p Gen8 8-SFF CTO Server"/>
    <n v="1"/>
    <s v="4SHT41984642"/>
    <d v="2014-12-31T11:07:31"/>
    <d v="2015-01-07T00:00:00"/>
    <d v="2015-01-06T05:55:28"/>
    <d v="2014-12-31T22:53:00"/>
    <d v="2015-01-01T03:24:03"/>
    <d v="2015-01-06T04:20:00"/>
    <n v="125.44999999995343"/>
    <n v="138.79916666663485"/>
    <x v="0"/>
    <n v="11.758055555575993"/>
    <n v="1.5911111111054197"/>
    <x v="0"/>
    <m/>
    <m/>
    <x v="0"/>
    <x v="0"/>
    <n v="1"/>
    <s v="元旦休息1号到4号"/>
  </r>
  <r>
    <s v="TSG_MLDL_PF"/>
    <n v="313876190"/>
    <n v="1115280453"/>
    <s v="653200-B21 #AKM"/>
    <s v="HP DL380p Gen8 8-SFF CTO Server"/>
    <n v="6"/>
    <s v="4SHT41984641"/>
    <d v="2014-12-31T11:08:31"/>
    <d v="2015-01-07T00:00:00"/>
    <d v="2015-01-06T05:55:28"/>
    <d v="2014-12-31T22:53:00"/>
    <d v="2015-01-01T03:07:13"/>
    <d v="2015-01-06T03:29:20"/>
    <n v="124.60555555560859"/>
    <n v="138.78249999991385"/>
    <x v="0"/>
    <n v="11.741388888854999"/>
    <n v="2.4355555554502644"/>
    <x v="0"/>
    <m/>
    <m/>
    <x v="0"/>
    <x v="0"/>
    <n v="1"/>
    <s v="元旦休息1号到4号"/>
  </r>
  <r>
    <s v="TSG_ENCL_PF"/>
    <n v="313876190"/>
    <n v="1115280452"/>
    <s v="681844-B21"/>
    <s v="HP BLc7000 CTO 3 IN LCD Plat Enclosure"/>
    <n v="1"/>
    <s v="4SHT41984640"/>
    <d v="2014-12-31T11:07:31"/>
    <d v="2015-01-07T00:00:00"/>
    <d v="2015-01-05T08:27:14"/>
    <d v="2015-01-01T02:04:00"/>
    <d v="2015-01-01T06:57:38"/>
    <d v="2015-01-01T08:43:06"/>
    <n v="6.651666666730307"/>
    <n v="117.32861111109378"/>
    <x v="2"/>
    <n v="14.941388888808433"/>
    <n v="95.735555555555038"/>
    <x v="3"/>
    <s v="PGI"/>
    <s v="WH"/>
    <x v="3"/>
    <x v="3"/>
    <n v="1"/>
    <m/>
  </r>
  <r>
    <s v="TSG_MLDL_PF"/>
    <n v="313876169"/>
    <n v="1115277310"/>
    <s v="652064-B21 #AKM"/>
    <s v="HP ML350pR08 LFF CTO Server"/>
    <n v="1"/>
    <s v="4SHT41984637"/>
    <d v="2014-12-31T11:07:33"/>
    <d v="2015-01-07T00:00:00"/>
    <d v="2015-01-07T11:44:54"/>
    <d v="2014-12-31T22:53:00"/>
    <d v="2015-01-01T02:20:44"/>
    <d v="2015-01-05T10:29:45"/>
    <n v="107.61250000004657"/>
    <n v="168.62250000005588"/>
    <x v="0"/>
    <n v="11.757500000065193"/>
    <n v="49.252499999944121"/>
    <x v="0"/>
    <m/>
    <m/>
    <x v="0"/>
    <x v="0"/>
    <n v="1"/>
    <s v="元旦休息1号到4号"/>
  </r>
  <r>
    <s v="TSG_MLDL_PF"/>
    <n v="313876169"/>
    <n v="1115277311"/>
    <s v="653200-B21 #AKM"/>
    <s v="HP DL380p Gen8 8-SFF CTO Server"/>
    <n v="2"/>
    <s v="4SHT41984637"/>
    <d v="2014-12-31T11:07:31"/>
    <d v="2015-01-07T00:00:00"/>
    <d v="2015-01-07T11:44:55"/>
    <d v="2014-12-31T22:53:00"/>
    <d v="2015-01-01T03:19:22"/>
    <d v="2015-01-05T16:01:12"/>
    <n v="113.13666666671634"/>
    <n v="168.62333333340939"/>
    <x v="0"/>
    <n v="11.758055555575993"/>
    <n v="43.728611111117061"/>
    <x v="0"/>
    <m/>
    <m/>
    <x v="0"/>
    <x v="0"/>
    <n v="1"/>
    <s v="元旦休息1号到4号"/>
  </r>
  <r>
    <s v="TSG_MLDL_PF"/>
    <n v="313876169"/>
    <n v="1115277309"/>
    <s v="653200-B21 #AKM"/>
    <s v="HP DL380p Gen8 8-SFF CTO Server"/>
    <n v="6"/>
    <s v="4SHT41984637"/>
    <d v="2014-12-31T11:08:31"/>
    <d v="2015-01-07T00:00:00"/>
    <d v="2015-01-07T11:44:54"/>
    <d v="2014-12-31T22:53:00"/>
    <d v="2015-01-01T03:31:37"/>
    <d v="2015-01-07T09:56:56"/>
    <n v="155.06555555557134"/>
    <n v="168.60638888884569"/>
    <x v="0"/>
    <n v="11.741388888854999"/>
    <n v="1.7994444444193505"/>
    <x v="0"/>
    <m/>
    <m/>
    <x v="0"/>
    <x v="0"/>
    <n v="1"/>
    <s v="维修缺731656-081 2015-01-05 11:56:54/难修机器（024751：内存反复报错/HP PE 要求换主板和全部内存）2015/1/6 (周二) 13:01+元旦休息1号到4号"/>
  </r>
  <r>
    <s v="TSG_MLDL_PF"/>
    <n v="4051293993"/>
    <n v="1115283436"/>
    <s v="719064-B21 #AKM"/>
    <s v="HP DL380 Gen9 8SFF CTO Server"/>
    <n v="1"/>
    <s v="4SHT41982282"/>
    <d v="2014-12-30T22:33:13"/>
    <d v="2015-01-06T00:00:00"/>
    <d v="2015-01-05T14:35:18"/>
    <d v="2014-12-31T15:35:00"/>
    <d v="2014-12-31T18:40:44"/>
    <d v="2015-01-05T13:10:24"/>
    <n v="117.5899999999674"/>
    <n v="136.03472222224809"/>
    <x v="0"/>
    <n v="17.029722222243436"/>
    <n v="1.4150000000372529"/>
    <x v="0"/>
    <m/>
    <m/>
    <x v="0"/>
    <x v="0"/>
    <n v="1"/>
    <s v="元旦休息1号到4号"/>
  </r>
  <r>
    <s v="TSG_MLDL_PF"/>
    <n v="313880233"/>
    <n v="1115285016"/>
    <s v="653200-B21 #AKM"/>
    <s v="HP DL380p Gen8 8-SFF CTO Server"/>
    <n v="2"/>
    <s v="4SHT41981783"/>
    <d v="2014-12-30T20:07:11"/>
    <d v="2015-01-06T00:00:00"/>
    <d v="2015-01-05T15:39:26"/>
    <d v="2014-12-31T15:35:00"/>
    <d v="2014-12-31T18:44:35"/>
    <d v="2015-01-05T13:49:55"/>
    <n v="118.2486111111939"/>
    <n v="139.53750000003492"/>
    <x v="0"/>
    <n v="19.463611111161299"/>
    <n v="1.8252777776797302"/>
    <x v="0"/>
    <m/>
    <m/>
    <x v="0"/>
    <x v="0"/>
    <n v="1"/>
    <s v="元旦休息1号到4号"/>
  </r>
  <r>
    <s v="TSG_MLDL_PF"/>
    <n v="313872698"/>
    <n v="1115278533"/>
    <s v="669257-B21 #AKM"/>
    <s v="HP DL380e Gen8 12LFF CTO Server"/>
    <n v="6"/>
    <s v="4SHT41981777"/>
    <d v="2014-12-30T20:07:11"/>
    <d v="2015-01-06T00:00:00"/>
    <d v="2015-01-06T04:51:26"/>
    <d v="2014-12-31T15:35:00"/>
    <d v="2014-12-31T19:20:01"/>
    <d v="2015-01-06T01:43:27"/>
    <n v="130.14083333336748"/>
    <n v="152.73750000010477"/>
    <x v="0"/>
    <n v="19.463611111161299"/>
    <n v="3.1330555555759929"/>
    <x v="0"/>
    <m/>
    <m/>
    <x v="0"/>
    <x v="0"/>
    <n v="1"/>
    <s v="元旦休息1号到4号"/>
  </r>
  <r>
    <s v="TSG_BLD_PF"/>
    <n v="4051292236"/>
    <n v="1115268870"/>
    <s v="641016-B21"/>
    <s v="HP BL460c Gen8 10/20Gb FLB CTO Blade"/>
    <n v="1"/>
    <s v="4SHT41981422"/>
    <d v="2014-12-30T18:48:10"/>
    <d v="2015-01-06T00:00:00"/>
    <d v="2015-01-05T08:59:12"/>
    <d v="2014-12-31T08:49:00"/>
    <d v="2014-12-31T10:30:33"/>
    <d v="2015-01-01T01:42:11"/>
    <n v="16.886388888931833"/>
    <n v="134.18388888897607"/>
    <x v="2"/>
    <n v="14.013888888875954"/>
    <n v="103.28361111116828"/>
    <x v="3"/>
    <s v="PGI"/>
    <s v="WH"/>
    <x v="3"/>
    <x v="3"/>
    <n v="1"/>
    <m/>
  </r>
  <r>
    <s v="TSG_MLDL_PF"/>
    <n v="313854633"/>
    <n v="1115247789"/>
    <s v="686792-B21 #AKM"/>
    <s v="HP DL560 Gen8 CTO Server"/>
    <n v="3"/>
    <s v="4SHT41980827"/>
    <d v="2014-12-30T17:14:10"/>
    <d v="2015-01-06T00:00:00"/>
    <d v="2015-01-05T08:28:11"/>
    <d v="2014-12-31T12:59:00"/>
    <d v="2014-12-31T15:24:18"/>
    <d v="2015-01-01T07:56:43"/>
    <n v="18.961944444396067"/>
    <n v="135.23361111106351"/>
    <x v="2"/>
    <n v="19.747222222213168"/>
    <n v="96.524444444454275"/>
    <x v="3"/>
    <s v="PGI"/>
    <s v="WH"/>
    <x v="3"/>
    <x v="3"/>
    <n v="1"/>
    <m/>
  </r>
  <r>
    <s v="TSG_MLDL_PF"/>
    <n v="313883101"/>
    <n v="1115287547"/>
    <s v="653200-B21 #AKM"/>
    <s v="HP DL380p Gen8 8-SFF CTO Server"/>
    <n v="1"/>
    <s v="4SHT41980071"/>
    <d v="2014-12-30T14:26:07"/>
    <d v="2015-01-06T00:00:00"/>
    <d v="2015-01-05T08:59:12"/>
    <d v="2014-12-31T09:35:00"/>
    <d v="2014-12-31T14:21:24"/>
    <d v="2015-01-01T02:43:49"/>
    <n v="17.146944444451947"/>
    <n v="138.55138888891088"/>
    <x v="2"/>
    <n v="19.148055555531755"/>
    <n v="102.25638888892718"/>
    <x v="3"/>
    <s v="PGI"/>
    <s v="WH"/>
    <x v="3"/>
    <x v="3"/>
    <n v="1"/>
    <m/>
  </r>
  <r>
    <s v="TSG_BLD_PF"/>
    <n v="313878077"/>
    <n v="1115280517"/>
    <s v="735151-B21"/>
    <s v="HP BL460c Gen8 E5-v2 10/20Gb CTO Blade"/>
    <n v="48"/>
    <s v="4SHT41980030"/>
    <d v="2014-12-30T14:42:07"/>
    <d v="2015-01-07T00:00:00"/>
    <d v="2015-01-08T18:48:11"/>
    <d v="2015-01-06T04:30:00"/>
    <d v="2015-01-06T11:03:58"/>
    <d v="2015-01-08T12:27:50"/>
    <n v="55.963888888887595"/>
    <n v="220.10111111111473"/>
    <x v="1"/>
    <n v="157.79805555555504"/>
    <n v="6.3391666666720994"/>
    <x v="2"/>
    <s v="Special"/>
    <s v="Others"/>
    <x v="2"/>
    <x v="2"/>
    <n v="1"/>
    <s v="short 715823-001+刀片无夜班生产"/>
  </r>
  <r>
    <s v="TSG_BLD_PF"/>
    <n v="313883018"/>
    <n v="1115288027"/>
    <s v="735151-B21"/>
    <s v="HP BL460c Gen8 E5-v2 10/20Gb CTO Blade"/>
    <n v="6"/>
    <s v="4SHT41979058"/>
    <d v="2014-12-30T12:44:06"/>
    <d v="2015-01-06T00:00:00"/>
    <d v="2015-01-07T18:07:02"/>
    <d v="2015-01-01T02:04:00"/>
    <d v="2015-01-01T04:59:50"/>
    <d v="2015-01-05T10:29:40"/>
    <n v="104.42777777777519"/>
    <n v="197.38222222222248"/>
    <x v="2"/>
    <n v="37.331666666606907"/>
    <n v="55.622777777840383"/>
    <x v="3"/>
    <s v="PGI"/>
    <s v="WH"/>
    <x v="3"/>
    <x v="3"/>
    <n v="1"/>
    <m/>
  </r>
  <r>
    <s v="TSG_ENCL_PF"/>
    <n v="313883018"/>
    <n v="1115288028"/>
    <s v="681842-B21"/>
    <s v="HP BLc7000 1PH 6PS 10Fan 16 IC Plat Encl"/>
    <n v="1"/>
    <s v="4SHT41979058"/>
    <d v="2014-12-30T12:43:05"/>
    <d v="2015-01-06T00:00:00"/>
    <d v="2015-01-07T18:07:02"/>
    <d v="2014-12-31T08:49:00"/>
    <d v="2014-12-31T10:36:14"/>
    <d v="2014-12-31T17:00:56"/>
    <n v="8.1988888889900409"/>
    <n v="197.39916666661156"/>
    <x v="2"/>
    <n v="20.098611110995989"/>
    <n v="169.10166666662553"/>
    <x v="3"/>
    <s v="PGI"/>
    <s v="WH"/>
    <x v="3"/>
    <x v="3"/>
    <n v="1"/>
    <m/>
  </r>
  <r>
    <s v="TSG_MLDL_PF"/>
    <n v="313880033"/>
    <n v="1115282281"/>
    <s v="654081-B21 #AKM"/>
    <s v="HP DL360p Gen8 8-SFF CTO Server"/>
    <n v="2"/>
    <s v="4SHT41979043"/>
    <d v="2014-12-30T11:21:03"/>
    <d v="2015-01-07T00:00:00"/>
    <d v="2015-01-05T08:27:14"/>
    <d v="2014-12-31T09:35:00"/>
    <d v="2014-12-31T13:03:11"/>
    <d v="2015-01-01T02:18:00"/>
    <n v="16.716666666674428"/>
    <n v="141.10305555554805"/>
    <x v="2"/>
    <n v="22.232499999983702"/>
    <n v="102.15388888888992"/>
    <x v="3"/>
    <s v="PGI"/>
    <s v="WH"/>
    <x v="3"/>
    <x v="3"/>
    <n v="1"/>
    <m/>
  </r>
  <r>
    <s v="TSG_MLDL_PF"/>
    <n v="313878123"/>
    <n v="1115279071"/>
    <s v="654081-B21 #AKM"/>
    <s v="HP DL360p Gen8 8-SFF CTO Server"/>
    <n v="1"/>
    <s v="4SHT41979030"/>
    <d v="2014-12-30T11:08:03"/>
    <d v="2015-01-05T00:00:00"/>
    <d v="2015-01-05T15:39:26"/>
    <d v="2014-12-31T09:35:00"/>
    <d v="2014-12-31T12:59:33"/>
    <d v="2015-01-05T13:51:46"/>
    <n v="124.27944444440072"/>
    <n v="148.52305555553176"/>
    <x v="0"/>
    <n v="22.44916666665813"/>
    <n v="1.7944444444729015"/>
    <x v="0"/>
    <m/>
    <m/>
    <x v="0"/>
    <x v="0"/>
    <n v="1"/>
    <s v="CIC+元旦休息1号到4号"/>
  </r>
  <r>
    <s v="TSG_MLDL_PF"/>
    <n v="313860448"/>
    <n v="1115259325"/>
    <s v="653200-B21 #AKM"/>
    <s v="HP DL380p Gen8 8-SFF CTO Server"/>
    <n v="10"/>
    <s v="4SHT41978445"/>
    <d v="2014-12-30T09:23:02"/>
    <d v="2015-01-06T00:00:00"/>
    <d v="2015-01-05T08:59:12"/>
    <d v="2014-12-31T06:47:00"/>
    <d v="2014-12-31T10:14:09"/>
    <d v="2015-01-01T00:41:11"/>
    <n v="17.903055555594619"/>
    <n v="143.60277777782176"/>
    <x v="2"/>
    <n v="21.399444444396067"/>
    <n v="104.30027777783107"/>
    <x v="3"/>
    <s v="PGI"/>
    <s v="WH"/>
    <x v="3"/>
    <x v="3"/>
    <n v="1"/>
    <m/>
  </r>
  <r>
    <s v="TSG_MLDL_PF"/>
    <n v="313878708"/>
    <n v="1115273288"/>
    <s v="K8J79A"/>
    <s v="HP DL380e Gen8 E5-2420 TC0914 Spcl Svr"/>
    <n v="8"/>
    <s v="4SHT41977197"/>
    <d v="2014-12-30T02:02:58"/>
    <d v="2015-01-09T00:00:00"/>
    <d v="2015-01-05T18:18:19"/>
    <d v="2014-12-31T12:59:00"/>
    <d v="2014-12-31T15:31:54"/>
    <d v="2015-01-05T16:16:24"/>
    <n v="123.28999999986263"/>
    <n v="160.25583333335817"/>
    <x v="0"/>
    <n v="34.933888889034279"/>
    <n v="2.03194444446126"/>
    <x v="0"/>
    <m/>
    <m/>
    <x v="0"/>
    <x v="0"/>
    <n v="1"/>
    <s v="short 653241-003+CIC+元旦休息1号到4号"/>
  </r>
  <r>
    <s v="TSG_MLDL_PF"/>
    <n v="313878707"/>
    <n v="1115273287"/>
    <s v="K8J79A"/>
    <s v="HP DL380e Gen8 E5-2420 TC0914 Spcl Svr"/>
    <n v="9"/>
    <s v="4SHT41977196"/>
    <d v="2014-12-30T02:02:57"/>
    <d v="2015-01-09T00:00:00"/>
    <d v="2015-01-05T18:18:19"/>
    <d v="2014-12-31T12:59:00"/>
    <d v="2014-12-31T15:09:23"/>
    <d v="2015-01-05T16:42:48"/>
    <n v="123.72999999986496"/>
    <n v="160.25611111102626"/>
    <x v="0"/>
    <n v="34.934166666702367"/>
    <n v="1.5919444444589317"/>
    <x v="0"/>
    <m/>
    <m/>
    <x v="0"/>
    <x v="0"/>
    <n v="1"/>
    <s v="short 653241-003+CIC+元旦休息1号到4号"/>
  </r>
  <r>
    <s v="TSG_MLDL_PF"/>
    <n v="313878706"/>
    <n v="1115273286"/>
    <s v="K8J79A"/>
    <s v="HP DL380e Gen8 E5-2420 TC0914 Spcl Svr"/>
    <n v="9"/>
    <s v="4SHT41977195"/>
    <d v="2014-12-30T02:02:58"/>
    <d v="2015-01-09T00:00:00"/>
    <d v="2015-01-05T19:54:21"/>
    <d v="2014-12-31T12:59:00"/>
    <d v="2014-12-31T16:00:07"/>
    <d v="2015-01-05T16:57:41"/>
    <n v="123.97805555543164"/>
    <n v="161.85638888902031"/>
    <x v="0"/>
    <n v="34.933888889034279"/>
    <n v="2.9444444445543922"/>
    <x v="0"/>
    <m/>
    <m/>
    <x v="0"/>
    <x v="0"/>
    <n v="1"/>
    <s v="short 653241-003+CIC+元旦休息1号到4号"/>
  </r>
  <r>
    <s v="TSG_ENCL_PF"/>
    <n v="313878077"/>
    <n v="1115280521"/>
    <s v="681842-B21"/>
    <s v="HP BLc7000 1PH 6PS 10Fan 16 IC Plat Encl"/>
    <n v="3"/>
    <s v="4SHT41977193"/>
    <d v="2014-12-30T02:02:56"/>
    <d v="2015-01-07T00:00:00"/>
    <d v="2015-01-08T18:48:11"/>
    <d v="2014-12-30T13:26:00"/>
    <d v="2014-12-30T13:47:46"/>
    <d v="2014-12-31T17:04:56"/>
    <n v="27.648888889001682"/>
    <n v="232.75416666670935"/>
    <x v="2"/>
    <n v="11.384444444440305"/>
    <n v="193.72083333326736"/>
    <x v="3"/>
    <s v="PGI"/>
    <s v="WH"/>
    <x v="3"/>
    <x v="3"/>
    <n v="1"/>
    <m/>
  </r>
  <r>
    <s v="TSG_MLDL_PF"/>
    <n v="313872274"/>
    <n v="1115273542"/>
    <s v="653200-B21 #AKM"/>
    <s v="HP DL380p Gen8 8-SFF CTO Server"/>
    <n v="2"/>
    <s v="4SHT41977175"/>
    <d v="2014-12-30T02:01:58"/>
    <d v="2015-01-07T00:00:00"/>
    <d v="2015-01-07T18:37:54"/>
    <d v="2014-12-30T20:30:00"/>
    <d v="2014-12-31T02:01:41"/>
    <d v="2014-12-31T18:38:36"/>
    <n v="22.143333333428018"/>
    <n v="208.59888888878049"/>
    <x v="2"/>
    <n v="18.46722222212702"/>
    <n v="167.98833333322546"/>
    <x v="3"/>
    <s v="PGI"/>
    <s v="WH"/>
    <x v="3"/>
    <x v="3"/>
    <n v="1"/>
    <s v="short 652564-b21@@"/>
  </r>
  <r>
    <s v="TSG_MLDL_PF"/>
    <n v="313872274"/>
    <n v="1115273543"/>
    <s v="653200-B21 #AKM"/>
    <s v="HP DL380p Gen8 8-SFF CTO Server"/>
    <n v="9"/>
    <s v="4SHT41977175"/>
    <d v="2014-12-30T02:02:56"/>
    <d v="2015-01-07T00:00:00"/>
    <d v="2015-01-07T18:37:54"/>
    <d v="2014-12-30T20:30:00"/>
    <d v="2014-12-31T02:17:07"/>
    <d v="2014-12-31T18:37:59"/>
    <n v="22.133055555692408"/>
    <n v="208.58277777774492"/>
    <x v="2"/>
    <n v="18.45111111109145"/>
    <n v="167.99861111096106"/>
    <x v="3"/>
    <s v="PGI"/>
    <s v="WH"/>
    <x v="3"/>
    <x v="3"/>
    <n v="1"/>
    <s v="short 652564-b21@@"/>
  </r>
  <r>
    <s v="TSG_MLDL_PF"/>
    <n v="313872146"/>
    <n v="1115273444"/>
    <s v="686792-B21 #AKM"/>
    <s v="HP DL560 Gen8 CTO Server"/>
    <n v="2"/>
    <s v="4SHT41977174"/>
    <d v="2014-12-30T02:01:57"/>
    <d v="2015-01-07T00:00:00"/>
    <d v="2015-01-05T17:31:20"/>
    <d v="2014-12-31T12:59:00"/>
    <d v="2014-12-31T15:29:31"/>
    <d v="2015-01-01T07:41:27"/>
    <n v="18.707500000018626"/>
    <n v="159.4897222223226"/>
    <x v="2"/>
    <n v="34.950833333423361"/>
    <n v="105.83138888888061"/>
    <x v="4"/>
    <s v="shortage"/>
    <s v="Buyer"/>
    <x v="5"/>
    <x v="5"/>
    <n v="1"/>
    <s v="short 732731-002"/>
  </r>
  <r>
    <s v="TSG_MLDL_PF"/>
    <n v="313871666"/>
    <n v="1115273060"/>
    <s v="728551-B21 #AKM"/>
    <s v="HP DL580 Gen8 CTO Svr"/>
    <n v="2"/>
    <s v="4SHT41977172"/>
    <d v="2014-12-30T02:01:58"/>
    <d v="2015-01-07T00:00:00"/>
    <d v="2015-01-08T14:18:10"/>
    <d v="2014-12-31T20:47:00"/>
    <d v="2015-01-01T00:08:59"/>
    <d v="2015-01-06T03:50:16"/>
    <n v="127.0544444443658"/>
    <n v="228.26999999990221"/>
    <x v="2"/>
    <n v="42.7505555555108"/>
    <n v="58.465000000025611"/>
    <x v="4"/>
    <s v="shortage"/>
    <s v="Buyer"/>
    <x v="5"/>
    <x v="5"/>
    <n v="1"/>
    <s v="short 729446-001 652564-b21@@ 732411-b21@@+元旦长假1号到4号"/>
  </r>
  <r>
    <s v="TSG_MLDL_PF"/>
    <n v="313871625"/>
    <n v="1115271983"/>
    <s v="728551-B21 #AKM"/>
    <s v="HP DL580 Gen8 CTO Svr"/>
    <n v="4"/>
    <s v="4SHT41977171"/>
    <d v="2014-12-30T02:02:57"/>
    <d v="2015-01-07T00:00:00"/>
    <d v="2015-01-06T07:45:28"/>
    <d v="2014-12-31T20:47:00"/>
    <d v="2015-01-01T00:30:58"/>
    <d v="2015-01-06T05:41:13"/>
    <n v="128.90361111110542"/>
    <n v="173.70861111109843"/>
    <x v="0"/>
    <n v="42.734166666632518"/>
    <n v="2.0708333333604969"/>
    <x v="0"/>
    <m/>
    <m/>
    <x v="0"/>
    <x v="0"/>
    <n v="1"/>
    <s v="short 729446-001 652564-b21@@ 732411-b21@@+元旦休息1号到4号"/>
  </r>
  <r>
    <s v="TSG_MLDL_PF"/>
    <n v="313870727"/>
    <n v="1115265998"/>
    <s v="653200-B21 #AKM"/>
    <s v="HP DL380p Gen8 8-SFF CTO Server"/>
    <n v="2"/>
    <s v="4SHT41977169"/>
    <d v="2014-12-30T02:01:57"/>
    <d v="2015-01-07T00:00:00"/>
    <d v="2015-01-05T08:27:14"/>
    <d v="2014-12-31T12:59:00"/>
    <d v="2014-12-31T15:47:37"/>
    <d v="2015-01-01T07:50:17"/>
    <n v="18.854722222080454"/>
    <n v="150.42138888890622"/>
    <x v="2"/>
    <n v="34.950833333423361"/>
    <n v="96.615833333402406"/>
    <x v="4"/>
    <s v="shortage"/>
    <s v="Buyer"/>
    <x v="5"/>
    <x v="5"/>
    <n v="1"/>
    <s v="short 715823-001"/>
  </r>
  <r>
    <s v="TSG_MLDL_PF"/>
    <n v="313870727"/>
    <n v="1115265997"/>
    <s v="654081-B21 #AKM"/>
    <s v="HP DL360p Gen8 8-SFF CTO Server"/>
    <n v="2"/>
    <s v="4SHT41977169"/>
    <d v="2014-12-30T02:00:57"/>
    <d v="2015-01-07T00:00:00"/>
    <d v="2015-01-05T08:27:14"/>
    <d v="2014-12-30T18:10:00"/>
    <d v="2014-12-30T22:39:29"/>
    <d v="2014-12-31T21:58:58"/>
    <n v="27.816111111023929"/>
    <n v="150.43805555562722"/>
    <x v="2"/>
    <n v="16.150833333435003"/>
    <n v="106.47111111116828"/>
    <x v="3"/>
    <s v="Group order"/>
    <s v="WH"/>
    <x v="5"/>
    <x v="5"/>
    <n v="1"/>
    <m/>
  </r>
  <r>
    <s v="TSG_MLDL_PF"/>
    <n v="313870727"/>
    <n v="1115265995"/>
    <s v="653200-B21 #AKM"/>
    <s v="HP DL380p Gen8 8-SFF CTO Server"/>
    <n v="8"/>
    <s v="4SHT41977169"/>
    <d v="2014-12-30T02:02:58"/>
    <d v="2015-01-07T00:00:00"/>
    <d v="2015-01-05T08:27:14"/>
    <d v="2014-12-30T18:10:00"/>
    <d v="2014-12-30T23:37:56"/>
    <d v="2014-12-31T15:35:21"/>
    <n v="21.422499999927823"/>
    <n v="150.40444444451714"/>
    <x v="2"/>
    <n v="16.117222222324926"/>
    <n v="112.86472222226439"/>
    <x v="3"/>
    <s v="Group order"/>
    <s v="WH"/>
    <x v="5"/>
    <x v="5"/>
    <n v="1"/>
    <m/>
  </r>
  <r>
    <s v="TSG_MLDL_PF"/>
    <n v="313870727"/>
    <n v="1115265996"/>
    <s v="654081-B21 #AKM"/>
    <s v="HP DL360p Gen8 8-SFF CTO Server"/>
    <n v="7"/>
    <s v="4SHT41977169"/>
    <d v="2014-12-30T02:02:58"/>
    <d v="2015-01-07T00:00:00"/>
    <d v="2015-01-05T08:27:14"/>
    <d v="2014-12-30T18:10:00"/>
    <d v="2014-12-30T22:30:10"/>
    <d v="2014-12-31T15:15:05"/>
    <n v="21.084722222120035"/>
    <n v="150.40444444451714"/>
    <x v="2"/>
    <n v="16.117222222324926"/>
    <n v="113.20250000007218"/>
    <x v="3"/>
    <s v="Group order"/>
    <s v="WH"/>
    <x v="5"/>
    <x v="5"/>
    <n v="1"/>
    <m/>
  </r>
  <r>
    <s v="TSG_MLDL_PF"/>
    <n v="313863686"/>
    <n v="1115260547"/>
    <s v="744680-B21 #AKM"/>
    <s v="HP DL360p Gen8 Low Cost CTO Svr"/>
    <n v="12"/>
    <s v="4SHT41977146"/>
    <d v="2014-12-30T02:02:58"/>
    <d v="2015-01-07T00:00:00"/>
    <d v="2015-01-06T11:54:30"/>
    <d v="2014-12-31T09:35:00"/>
    <d v="2014-12-31T14:27:36"/>
    <d v="2015-01-05T15:05:19"/>
    <n v="125.50527777773095"/>
    <n v="177.85888888902264"/>
    <x v="0"/>
    <n v="31.533888888952788"/>
    <n v="20.819722222338896"/>
    <x v="0"/>
    <m/>
    <m/>
    <x v="0"/>
    <x v="0"/>
    <n v="1"/>
    <s v="short 728714-001+CIC+元旦休息1号到4号"/>
  </r>
  <r>
    <s v="TSG_MLDL_PF"/>
    <n v="313862603"/>
    <n v="1115256967"/>
    <s v="653200-B21 #AKM"/>
    <s v="HP DL380p Gen8 8-SFF CTO Server"/>
    <n v="1"/>
    <s v="4SHT41977145"/>
    <d v="2014-12-30T01:50:56"/>
    <d v="2015-01-07T00:00:00"/>
    <d v="2015-01-05T17:31:19"/>
    <d v="2014-12-30T20:30:00"/>
    <d v="2014-12-31T02:43:44"/>
    <d v="2014-12-31T15:08:28"/>
    <n v="18.641111111151986"/>
    <n v="159.67305555555504"/>
    <x v="2"/>
    <n v="18.651111111044884"/>
    <n v="122.38083333335817"/>
    <x v="3"/>
    <s v="PGI"/>
    <s v="WH"/>
    <x v="3"/>
    <x v="3"/>
    <n v="1"/>
    <s v="short 652564-b21@@"/>
  </r>
  <r>
    <s v="TSG_MLDL_PF"/>
    <n v="313862513"/>
    <n v="1115258836"/>
    <s v="728551-B21 #AKM"/>
    <s v="HP DL580 Gen8 CTO Svr"/>
    <n v="1"/>
    <s v="4SHT41977144"/>
    <d v="2014-12-30T01:50:56"/>
    <d v="2015-01-07T00:00:00"/>
    <d v="2015-01-06T09:15:30"/>
    <d v="2014-12-31T20:47:00"/>
    <d v="2015-01-01T00:44:42"/>
    <d v="2015-01-06T07:30:36"/>
    <n v="130.72666666674195"/>
    <n v="175.40944444440538"/>
    <x v="0"/>
    <n v="42.934444444428664"/>
    <n v="1.7483333332347684"/>
    <x v="0"/>
    <m/>
    <m/>
    <x v="0"/>
    <x v="0"/>
    <n v="1"/>
    <s v="short 729446-001 732411-b21@@+元旦休息1号到4号"/>
  </r>
  <r>
    <s v="TSG_MLDL_PF"/>
    <n v="313862513"/>
    <n v="1115258824"/>
    <s v="653200-B21 #AKM"/>
    <s v="HP DL380p Gen8 8-SFF CTO Server"/>
    <n v="4"/>
    <s v="4SHT41977142"/>
    <d v="2014-12-30T01:50:56"/>
    <d v="2015-01-07T00:00:00"/>
    <d v="2015-01-05T08:27:14"/>
    <d v="2014-12-30T18:10:00"/>
    <d v="2014-12-30T23:41:18"/>
    <d v="2014-12-31T22:15:20"/>
    <n v="28.088888888829388"/>
    <n v="150.60499999998137"/>
    <x v="2"/>
    <n v="16.317777777789161"/>
    <n v="106.19833333336283"/>
    <x v="3"/>
    <s v="PGI"/>
    <s v="WH"/>
    <x v="3"/>
    <x v="3"/>
    <n v="1"/>
    <m/>
  </r>
  <r>
    <s v="TSG_MLDL_PF"/>
    <n v="313861766"/>
    <n v="1115258003"/>
    <s v="652063-B21 #AKM"/>
    <s v="HP ML350pR08 SFF CTO Server"/>
    <n v="2"/>
    <s v="4SHT41977139"/>
    <d v="2014-12-30T01:50:56"/>
    <d v="2015-01-07T00:00:00"/>
    <d v="2015-01-05T12:43:19"/>
    <d v="2014-12-31T20:47:00"/>
    <d v="2015-01-01T00:16:50"/>
    <d v="2015-01-05T10:34:28"/>
    <n v="109.79111111105885"/>
    <n v="154.87305555562489"/>
    <x v="0"/>
    <n v="42.934444444428664"/>
    <n v="2.1475000001373701"/>
    <x v="0"/>
    <m/>
    <m/>
    <x v="0"/>
    <x v="0"/>
    <n v="1"/>
    <s v="short 661618-b21@@ 652564-b21@@+元旦休息1号到4号"/>
  </r>
  <r>
    <s v="TSG_MLDL_PF"/>
    <n v="313861199"/>
    <n v="1115258975"/>
    <s v="653200-B21 #AKM"/>
    <s v="HP DL380p Gen8 8-SFF CTO Server"/>
    <n v="5"/>
    <s v="4SHT41977137"/>
    <d v="2014-12-30T01:50:57"/>
    <d v="2015-01-07T00:00:00"/>
    <d v="2015-01-05T08:59:13"/>
    <d v="2014-12-30T18:10:00"/>
    <d v="2014-12-30T23:51:23"/>
    <d v="2014-12-31T15:40:49"/>
    <n v="21.513611111033242"/>
    <n v="151.13777777762152"/>
    <x v="2"/>
    <n v="16.317499999946449"/>
    <n v="113.30666666664183"/>
    <x v="3"/>
    <s v="PGI"/>
    <s v="WH"/>
    <x v="3"/>
    <x v="3"/>
    <n v="1"/>
    <m/>
  </r>
  <r>
    <s v="TSG_MLDL_PF"/>
    <n v="313858460"/>
    <n v="1115257421"/>
    <s v="653200-B21 #AKM"/>
    <s v="HP DL380p Gen8 8-SFF CTO Server"/>
    <n v="2"/>
    <s v="4SHT41977131"/>
    <d v="2014-12-30T01:50:56"/>
    <d v="2015-01-07T00:00:00"/>
    <d v="2015-01-05T17:31:18"/>
    <d v="2014-12-31T12:59:00"/>
    <d v="2014-12-31T15:49:41"/>
    <d v="2015-01-05T10:07:20"/>
    <n v="117.13888888887595"/>
    <n v="159.67277777771233"/>
    <x v="0"/>
    <n v="35.134444444498513"/>
    <n v="7.3994444443378597"/>
    <x v="0"/>
    <m/>
    <m/>
    <x v="0"/>
    <x v="0"/>
    <n v="1"/>
    <s v="short 665093-001 652564-b21@@+元旦休息1号到4号"/>
  </r>
  <r>
    <s v="TSG_MLDL_PF"/>
    <n v="313856894"/>
    <n v="1115251607"/>
    <s v="728551-B21 #AKM"/>
    <s v="HP DL580 Gen8 CTO Svr"/>
    <n v="2"/>
    <s v="4SHT41977129"/>
    <d v="2014-12-30T01:50:56"/>
    <d v="2015-01-07T00:00:00"/>
    <d v="2015-01-09T17:30:31"/>
    <d v="2014-12-31T20:47:00"/>
    <d v="2015-01-01T00:49:10"/>
    <d v="2015-01-06T08:05:07"/>
    <n v="131.30194444453809"/>
    <n v="255.65972222224809"/>
    <x v="2"/>
    <n v="42.934444444428664"/>
    <n v="81.423333333281334"/>
    <x v="4"/>
    <s v="shortage"/>
    <s v="Buyer"/>
    <x v="5"/>
    <x v="5"/>
    <n v="1"/>
    <s v="short 729446-001 732411-b21@@+元旦长假1号到4号"/>
  </r>
  <r>
    <s v="TSG_MLDL_PF"/>
    <n v="4051294592"/>
    <n v="1115263497"/>
    <s v="767032-B21 #AKM"/>
    <s v="HP DL380 Gen9 24SFF CTO Server"/>
    <n v="1"/>
    <s v="4SHT41976878"/>
    <d v="2014-12-30T00:36:55"/>
    <d v="2015-01-07T00:00:00"/>
    <d v="2015-01-05T08:28:12"/>
    <d v="2014-12-30T20:30:00"/>
    <d v="2014-12-31T03:45:52"/>
    <d v="2014-12-31T22:47:15"/>
    <n v="26.287500000034925"/>
    <n v="151.85472222219687"/>
    <x v="2"/>
    <n v="19.884722222224809"/>
    <n v="105.68249999993714"/>
    <x v="3"/>
    <s v="PGI"/>
    <s v="WH"/>
    <x v="3"/>
    <x v="3"/>
    <n v="1"/>
    <s v="short 652564-b21@@"/>
  </r>
  <r>
    <s v="TSG_MLDL_PF"/>
    <n v="4051294320"/>
    <n v="1115281324"/>
    <s v="719064-B21 #AKM"/>
    <s v="HP DL380 Gen9 8SFF CTO Server"/>
    <n v="1"/>
    <s v="4SHT41976876"/>
    <d v="2014-12-30T00:36:55"/>
    <d v="2015-01-07T00:00:00"/>
    <d v="2015-01-05T08:28:12"/>
    <d v="2014-12-31T12:59:00"/>
    <d v="2014-12-31T15:03:42"/>
    <d v="2015-01-01T07:43:35"/>
    <n v="18.743055555503815"/>
    <n v="151.85472222219687"/>
    <x v="2"/>
    <n v="36.368055555678438"/>
    <n v="96.743611111014616"/>
    <x v="4"/>
    <s v="shortage"/>
    <s v="Buyer"/>
    <x v="5"/>
    <x v="5"/>
    <n v="1"/>
    <s v="short 759515-001"/>
  </r>
  <r>
    <s v="TSG_MLDL_PF"/>
    <n v="4051293746"/>
    <n v="1115279894"/>
    <s v="719064-B21 #AKM"/>
    <s v="HP DL380 Gen9 8SFF CTO Server"/>
    <n v="1"/>
    <s v="4SHT41976875"/>
    <d v="2014-12-30T00:36:55"/>
    <d v="2015-01-07T00:00:00"/>
    <d v="2015-01-05T08:43:15"/>
    <d v="2014-12-30T20:30:00"/>
    <d v="2014-12-31T03:40:46"/>
    <d v="2014-12-31T20:03:35"/>
    <n v="23.559722222329583"/>
    <n v="152.1055555556668"/>
    <x v="2"/>
    <n v="19.884722222224809"/>
    <n v="108.6611111111124"/>
    <x v="3"/>
    <s v="PGI"/>
    <s v="WH"/>
    <x v="3"/>
    <x v="3"/>
    <n v="1"/>
    <s v="short 652564-b21@@"/>
  </r>
  <r>
    <s v="TSG_MLDL_PF"/>
    <n v="313865520"/>
    <n v="1115259003"/>
    <s v="755258-B21 #AKM"/>
    <s v="HP DL360 Gen9 8SFF CTO Server"/>
    <n v="26"/>
    <s v="4SHT41976843"/>
    <d v="2014-12-30T00:39:56"/>
    <d v="2015-01-07T00:00:00"/>
    <d v="2015-01-05T17:31:19"/>
    <d v="2014-12-30T20:30:00"/>
    <d v="2014-12-31T00:17:07"/>
    <d v="2015-01-05T15:25:00"/>
    <n v="138.91666666668607"/>
    <n v="160.85638888890389"/>
    <x v="0"/>
    <n v="19.834444444393739"/>
    <n v="2.1052777778240852"/>
    <x v="0"/>
    <m/>
    <m/>
    <x v="0"/>
    <x v="0"/>
    <n v="1"/>
    <s v="short 652564-b21@@+元旦休息1号到4号"/>
  </r>
  <r>
    <s v="TSG_MLDL_PF"/>
    <n v="313865520"/>
    <n v="1115259002"/>
    <s v="728551-B21 #AKM"/>
    <s v="HP DL580 Gen8 CTO Svr"/>
    <n v="9"/>
    <s v="4SHT41976842"/>
    <d v="2014-12-30T00:36:55"/>
    <d v="2015-01-07T00:00:00"/>
    <d v="2015-01-06T14:03:32"/>
    <d v="2014-12-31T20:47:00"/>
    <d v="2015-01-01T01:54:41"/>
    <d v="2015-01-06T10:38:36"/>
    <n v="133.85999999998603"/>
    <n v="181.44361111120088"/>
    <x v="2"/>
    <n v="44.168055555608589"/>
    <n v="3.4155555556062609"/>
    <x v="4"/>
    <s v="shortage"/>
    <s v="Buyer"/>
    <x v="5"/>
    <x v="5"/>
    <n v="1"/>
    <s v="short 729446-001 652564-b21@@ 732411-b21@@+元旦休息1号到4号"/>
  </r>
  <r>
    <s v="TSG_MLDL_PF"/>
    <n v="313865520"/>
    <n v="1115259001"/>
    <s v="728551-B21 #AKM"/>
    <s v="HP DL580 Gen8 CTO Svr"/>
    <n v="1"/>
    <s v="4SHT41976841"/>
    <d v="2014-12-30T00:34:55"/>
    <d v="2015-01-07T00:00:00"/>
    <d v="2015-01-06T10:51:33"/>
    <d v="2014-12-31T20:47:00"/>
    <d v="2015-01-01T00:04:22"/>
    <d v="2015-01-06T09:26:53"/>
    <n v="132.66472222219454"/>
    <n v="178.2772222221829"/>
    <x v="0"/>
    <n v="44.201388888875954"/>
    <n v="1.4111111111124046"/>
    <x v="0"/>
    <m/>
    <m/>
    <x v="0"/>
    <x v="0"/>
    <n v="1"/>
    <s v="short 729446-001 732411-b21@@+元旦休息1号到4号"/>
  </r>
  <r>
    <s v="TSG_MLDL_PF"/>
    <n v="313865520"/>
    <n v="1115258999"/>
    <s v="719064-B21 #AKM"/>
    <s v="HP DL380 Gen9 8SFF CTO Server"/>
    <n v="32"/>
    <s v="4SHT41976840"/>
    <d v="2014-12-30T00:44:56"/>
    <d v="2015-01-07T00:00:00"/>
    <d v="2015-01-06T14:03:32"/>
    <d v="2014-12-30T20:30:00"/>
    <d v="2014-12-31T01:21:28"/>
    <d v="2015-01-06T11:53:23"/>
    <n v="159.38972222234588"/>
    <n v="181.31000000011409"/>
    <x v="2"/>
    <n v="19.751111111138016"/>
    <n v="2.1691666666301899"/>
    <x v="2"/>
    <s v="Special"/>
    <s v="Others"/>
    <x v="2"/>
    <x v="2"/>
    <n v="1"/>
    <s v="short 652564-b21@@+元旦休息1号到4号"/>
  </r>
  <r>
    <s v="TSG_ENCL_PF"/>
    <n v="313880317"/>
    <n v="1115284497"/>
    <s v="681840-B21"/>
    <s v="HP BLc7000 1PH 2PS 4Fan Trl IC Plat Encl"/>
    <n v="2"/>
    <s v="4SHT41975580"/>
    <d v="2014-12-29T19:46:51"/>
    <d v="2015-01-06T00:00:00"/>
    <d v="2015-01-05T15:39:27"/>
    <d v="2014-12-30T13:26:00"/>
    <d v="2014-12-30T14:06:42"/>
    <d v="2014-12-31T16:57:53"/>
    <n v="27.53138888895046"/>
    <n v="163.87666666670702"/>
    <x v="2"/>
    <n v="17.652499999967404"/>
    <n v="118.69277777778916"/>
    <x v="3"/>
    <s v="PGI"/>
    <s v="WH"/>
    <x v="3"/>
    <x v="3"/>
    <n v="1"/>
    <m/>
  </r>
  <r>
    <s v="TSG_MLDL_PF"/>
    <n v="313880317"/>
    <n v="1115284496"/>
    <s v="653200-B21 #AKM"/>
    <s v="HP DL380p Gen8 8-SFF CTO Server"/>
    <n v="5"/>
    <s v="4SHT41975580"/>
    <d v="2014-12-29T19:47:51"/>
    <d v="2015-01-06T00:00:00"/>
    <d v="2015-01-05T15:39:27"/>
    <d v="2014-12-30T10:35:00"/>
    <d v="2014-12-30T18:05:05"/>
    <d v="2014-12-31T10:59:27"/>
    <n v="24.407500000088476"/>
    <n v="163.85999999998603"/>
    <x v="2"/>
    <n v="14.785833333211485"/>
    <n v="124.66666666668607"/>
    <x v="3"/>
    <s v="PGI"/>
    <s v="WH"/>
    <x v="3"/>
    <x v="3"/>
    <n v="1"/>
    <m/>
  </r>
  <r>
    <s v="TSG_BLD_PF"/>
    <n v="313880317"/>
    <n v="1115284494"/>
    <s v="735151-B21"/>
    <s v="HP BL460c Gen8 E5-v2 10/20Gb CTO Blade"/>
    <n v="4"/>
    <s v="4SHT41975580"/>
    <d v="2014-12-29T19:46:51"/>
    <d v="2015-01-06T00:00:00"/>
    <d v="2015-01-05T15:39:26"/>
    <d v="2014-12-30T13:26:00"/>
    <d v="2014-12-30T14:03:17"/>
    <d v="2014-12-31T04:16:04"/>
    <n v="14.834444444510154"/>
    <n v="163.87638888886431"/>
    <x v="2"/>
    <n v="17.652499999967404"/>
    <n v="131.38944444438675"/>
    <x v="3"/>
    <s v="PGI"/>
    <s v="WH"/>
    <x v="3"/>
    <x v="3"/>
    <n v="1"/>
    <m/>
  </r>
  <r>
    <s v="TSG_BLD_PF"/>
    <n v="313880317"/>
    <n v="1115284495"/>
    <s v="735151-B21"/>
    <s v="HP BL460c Gen8 E5-v2 10/20Gb CTO Blade"/>
    <n v="15"/>
    <s v="4SHT41975580"/>
    <d v="2014-12-29T19:46:52"/>
    <d v="2015-01-06T00:00:00"/>
    <d v="2015-01-05T15:39:26"/>
    <d v="2014-12-30T13:26:00"/>
    <d v="2014-12-30T14:13:47"/>
    <d v="2014-12-31T04:12:39"/>
    <n v="14.777500000025611"/>
    <n v="163.8761111110216"/>
    <x v="2"/>
    <n v="17.652222222124692"/>
    <n v="131.4463888888713"/>
    <x v="3"/>
    <s v="PGI"/>
    <s v="WH"/>
    <x v="3"/>
    <x v="3"/>
    <n v="1"/>
    <m/>
  </r>
  <r>
    <s v="TSG_BLD_PF"/>
    <n v="313880317"/>
    <n v="1115284493"/>
    <s v="735151-B21"/>
    <s v="HP BL460c Gen8 E5-v2 10/20Gb CTO Blade"/>
    <n v="6"/>
    <s v="4SHT41975580"/>
    <d v="2014-12-29T19:46:52"/>
    <d v="2015-01-06T00:00:00"/>
    <d v="2015-01-05T15:39:27"/>
    <d v="2014-12-30T13:26:00"/>
    <d v="2014-12-30T14:34:40"/>
    <d v="2014-12-31T03:55:46"/>
    <n v="14.496111111191567"/>
    <n v="163.87638888886431"/>
    <x v="2"/>
    <n v="17.652222222124692"/>
    <n v="131.72805555554805"/>
    <x v="3"/>
    <s v="PGI"/>
    <s v="WH"/>
    <x v="3"/>
    <x v="3"/>
    <n v="1"/>
    <m/>
  </r>
  <r>
    <s v="TSG_BLD_PF"/>
    <n v="313877724"/>
    <n v="1115280813"/>
    <s v="735151-B21"/>
    <s v="HP BL460c Gen8 E5-v2 10/20Gb CTO Blade"/>
    <n v="4"/>
    <s v="4SHT41975574"/>
    <d v="2014-12-29T19:46:52"/>
    <d v="2015-01-06T00:00:00"/>
    <d v="2015-01-07T22:36:07"/>
    <d v="2014-12-30T13:26:00"/>
    <d v="2014-12-30T14:31:13"/>
    <d v="2014-12-31T04:17:13"/>
    <n v="14.853611111117061"/>
    <n v="218.8208333333605"/>
    <x v="2"/>
    <n v="17.652222222124692"/>
    <n v="186.31500000011874"/>
    <x v="3"/>
    <s v="PGI"/>
    <s v="WH"/>
    <x v="3"/>
    <x v="3"/>
    <n v="1"/>
    <m/>
  </r>
  <r>
    <s v="TSG_MLDL_PF"/>
    <n v="313862513"/>
    <n v="1115258825"/>
    <s v="665554-B21 #AKM"/>
    <s v="HP DL380p Gen8 25-SFF CTO Server"/>
    <n v="4"/>
    <s v="4SHT41975539"/>
    <d v="2014-12-29T19:42:51"/>
    <d v="2015-01-05T00:00:00"/>
    <d v="2015-01-05T08:59:13"/>
    <d v="2014-12-30T14:30:00"/>
    <d v="2014-12-30T21:34:21"/>
    <d v="2014-12-31T22:22:46"/>
    <n v="31.879444444435649"/>
    <n v="157.27277777774725"/>
    <x v="2"/>
    <n v="18.785833333327901"/>
    <n v="106.6074999999837"/>
    <x v="3"/>
    <s v="PGI"/>
    <s v="WH"/>
    <x v="3"/>
    <x v="3"/>
    <n v="1"/>
    <m/>
  </r>
  <r>
    <s v="TSG_MLDL_PF"/>
    <n v="313856894"/>
    <n v="1115251605"/>
    <s v="653200-B21 #AKM"/>
    <s v="HP DL380p Gen8 8-SFF CTO Server"/>
    <n v="14"/>
    <s v="4SHT41975538"/>
    <d v="2014-12-29T19:45:52"/>
    <d v="2015-01-05T00:00:00"/>
    <d v="2015-01-09T17:30:31"/>
    <d v="2014-12-30T10:35:00"/>
    <d v="2014-12-30T14:46:46"/>
    <d v="2014-12-31T13:21:49"/>
    <n v="26.780277777928859"/>
    <n v="261.74416666670004"/>
    <x v="2"/>
    <n v="14.818888888810761"/>
    <n v="220.14499999996042"/>
    <x v="3"/>
    <s v="PGI"/>
    <s v="WH"/>
    <x v="3"/>
    <x v="3"/>
    <n v="1"/>
    <m/>
  </r>
  <r>
    <s v="TSG_MLDL_PF"/>
    <n v="313843521"/>
    <n v="1115231015"/>
    <s v="653200-B21 #AKM"/>
    <s v="HP DL380p Gen8 8-SFF CTO Server"/>
    <n v="4"/>
    <s v="4SHT41975533"/>
    <d v="2014-12-29T19:46:52"/>
    <d v="2015-01-06T00:00:00"/>
    <d v="2015-01-05T08:59:12"/>
    <d v="2014-12-30T10:35:00"/>
    <d v="2014-12-30T14:02:23"/>
    <d v="2015-01-01T02:37:22"/>
    <n v="40.039444444526453"/>
    <n v="157.2055555555271"/>
    <x v="2"/>
    <n v="14.802222222089767"/>
    <n v="102.36388888891088"/>
    <x v="3"/>
    <s v="PGI"/>
    <s v="WH"/>
    <x v="3"/>
    <x v="3"/>
    <n v="1"/>
    <m/>
  </r>
  <r>
    <s v="TSG_MLDL_PF"/>
    <n v="313843521"/>
    <n v="1115231012"/>
    <s v="653200-B21 #AKM"/>
    <s v="HP DL380p Gen8 8-SFF CTO Server"/>
    <n v="2"/>
    <s v="4SHT41975532"/>
    <d v="2014-12-29T19:45:52"/>
    <d v="2015-01-06T00:00:00"/>
    <d v="2015-01-05T08:59:13"/>
    <d v="2014-12-30T10:35:00"/>
    <d v="2014-12-30T15:16:17"/>
    <d v="2014-12-31T15:54:06"/>
    <n v="29.318333333416376"/>
    <n v="157.22249999991618"/>
    <x v="2"/>
    <n v="14.818888888810761"/>
    <n v="113.08527777768904"/>
    <x v="3"/>
    <s v="PGI"/>
    <s v="WH"/>
    <x v="3"/>
    <x v="3"/>
    <n v="1"/>
    <m/>
  </r>
  <r>
    <s v="TSG_MLDL_PF"/>
    <n v="313843521"/>
    <n v="1115230409"/>
    <s v="653200-B21 #AKM"/>
    <s v="HP DL380p Gen8 8-SFF CTO Server"/>
    <n v="16"/>
    <s v="4SHT41975531"/>
    <d v="2014-12-29T19:48:51"/>
    <d v="2015-01-06T00:00:00"/>
    <d v="2015-01-05T08:59:13"/>
    <d v="2014-12-30T09:18:00"/>
    <d v="2014-12-30T13:21:00"/>
    <d v="2015-01-01T03:08:34"/>
    <n v="41.842777777870651"/>
    <n v="157.17277777777053"/>
    <x v="2"/>
    <n v="13.485833333339542"/>
    <n v="101.84416666656034"/>
    <x v="3"/>
    <s v="PGI"/>
    <s v="WH"/>
    <x v="3"/>
    <x v="3"/>
    <n v="1"/>
    <s v="6CU5015NXF:FPIA报错930201，更换硬盘背板后重测pass"/>
  </r>
  <r>
    <s v="TSG_MLDL_PF"/>
    <n v="313831000"/>
    <n v="1115215960"/>
    <s v="653200-B21 #AKM"/>
    <s v="HP DL380p Gen8 8-SFF CTO Server"/>
    <n v="27"/>
    <s v="4SHT41975527"/>
    <d v="2014-12-29T19:51:52"/>
    <d v="2015-01-06T00:00:00"/>
    <d v="2015-01-05T08:28:11"/>
    <d v="2014-12-30T20:30:00"/>
    <d v="2014-12-31T00:14:46"/>
    <d v="2015-01-01T08:27:34"/>
    <n v="35.959444444568362"/>
    <n v="156.60527777782409"/>
    <x v="2"/>
    <n v="24.635555555520114"/>
    <n v="96.01027777773561"/>
    <x v="4"/>
    <s v="shortage"/>
    <s v="Buyer"/>
    <x v="5"/>
    <x v="5"/>
    <n v="1"/>
    <s v="short 652564-b21@@"/>
  </r>
  <r>
    <s v="TSG_MLDL_PF"/>
    <n v="313826085"/>
    <n v="1115211673"/>
    <s v="653200-B21 #AKM"/>
    <s v="HP DL380p Gen8 8-SFF CTO Server"/>
    <n v="11"/>
    <s v="4SHT41975526"/>
    <d v="2014-12-29T19:43:52"/>
    <d v="2015-01-05T00:00:00"/>
    <d v="2015-01-05T08:59:13"/>
    <d v="2014-12-30T10:35:00"/>
    <d v="2014-12-30T16:29:42"/>
    <d v="2014-12-31T19:50:18"/>
    <n v="33.255000000062864"/>
    <n v="157.25583333318355"/>
    <x v="2"/>
    <n v="14.852222222078126"/>
    <n v="109.14861111104256"/>
    <x v="3"/>
    <s v="PGI"/>
    <s v="WH"/>
    <x v="3"/>
    <x v="3"/>
    <n v="1"/>
    <s v="装配issue（散热胶和芯片贴合较小）2014/12/31 (周三) 2:00"/>
  </r>
  <r>
    <s v="TSG_MLDL_PF"/>
    <n v="313863175"/>
    <n v="1115261218"/>
    <s v="654081-B21 #AKM"/>
    <s v="HP DL360p Gen8 8-SFF CTO Server"/>
    <n v="6"/>
    <s v="4SHT41974783"/>
    <d v="2014-12-29T18:32:50"/>
    <d v="2015-01-05T00:00:00"/>
    <d v="2015-01-05T16:27:18"/>
    <d v="2014-12-31T06:47:00"/>
    <d v="2014-12-31T12:39:22"/>
    <d v="2015-01-05T15:11:02"/>
    <n v="128.4005555556505"/>
    <n v="165.90777777781477"/>
    <x v="0"/>
    <n v="36.236111111124046"/>
    <n v="1.2711111110402271"/>
    <x v="0"/>
    <m/>
    <m/>
    <x v="0"/>
    <x v="0"/>
    <n v="1"/>
    <s v="cic+元旦休息1号到4号"/>
  </r>
  <r>
    <s v="TSG_BLD_PF"/>
    <n v="313794263"/>
    <n v="1115164102"/>
    <s v="518878-B21"/>
    <s v="HP BL685c G7 CTO Blade"/>
    <n v="72"/>
    <s v="4SHT41974233"/>
    <d v="2014-12-29T17:48:11"/>
    <d v="2015-01-06T00:00:00"/>
    <d v="2015-01-08T13:46:21"/>
    <d v="2015-01-05T10:30:00"/>
    <d v="2015-01-05T16:12:19"/>
    <d v="2015-01-08T11:16:21"/>
    <n v="72.772500000020955"/>
    <n v="235.96944444434484"/>
    <x v="1"/>
    <n v="160.6969444443821"/>
    <n v="2.4999999999417923"/>
    <x v="1"/>
    <s v="Diags issue"/>
    <s v="TE"/>
    <x v="6"/>
    <x v="6"/>
    <n v="1"/>
    <s v="short 578817-003/ runin issue(201001) 1/6/2014"/>
  </r>
  <r>
    <s v="TSG_BLD_PF"/>
    <n v="313856894"/>
    <n v="1115251601"/>
    <s v="735151-B21"/>
    <s v="HP BL460c Gen8 E5-v2 10/20Gb CTO Blade"/>
    <n v="5"/>
    <s v="4SHT41972788"/>
    <d v="2014-12-29T13:33:06"/>
    <d v="2015-01-05T00:00:00"/>
    <d v="2015-01-09T17:30:31"/>
    <d v="2014-12-29T22:00:00"/>
    <d v="2014-12-30T00:04:08"/>
    <d v="2014-12-30T15:59:50"/>
    <n v="17.997222222271375"/>
    <n v="267.95694444444962"/>
    <x v="2"/>
    <n v="8.4483333332464099"/>
    <n v="241.51138888893183"/>
    <x v="3"/>
    <s v="PGI"/>
    <s v="WH"/>
    <x v="3"/>
    <x v="3"/>
    <n v="1"/>
    <m/>
  </r>
  <r>
    <s v="TSG_BLD_PF"/>
    <n v="313869109"/>
    <n v="1115268074"/>
    <s v="641016-B21"/>
    <s v="HP BL460c Gen8 10/20Gb FLB CTO Blade"/>
    <n v="4"/>
    <s v="4SHT41972427"/>
    <d v="2014-12-30T00:36:55"/>
    <d v="2015-01-07T00:00:00"/>
    <d v="2015-01-06T18:18:40"/>
    <d v="2014-12-31T08:49:00"/>
    <d v="2014-12-31T10:18:43"/>
    <d v="2015-01-01T01:44:53"/>
    <n v="16.931388888973743"/>
    <n v="185.69583333347691"/>
    <x v="2"/>
    <n v="32.201388888875954"/>
    <n v="136.56305555562722"/>
    <x v="4"/>
    <s v="shortage"/>
    <s v="Buyer"/>
    <x v="5"/>
    <x v="5"/>
    <n v="1"/>
    <s v="short 652564-b21@@ 651281-b21@@"/>
  </r>
  <r>
    <s v="TSG_BLD_PF"/>
    <n v="313869109"/>
    <n v="1115268076"/>
    <s v="641016-B21"/>
    <s v="HP BL460c Gen8 10/20Gb FLB CTO Blade"/>
    <n v="2"/>
    <s v="4SHT41972427"/>
    <d v="2014-12-30T00:35:56"/>
    <d v="2015-01-07T00:00:00"/>
    <d v="2015-01-06T18:18:39"/>
    <d v="2015-01-01T02:04:00"/>
    <d v="2015-01-01T04:52:01"/>
    <d v="2015-01-05T18:26:41"/>
    <n v="112.37805555568775"/>
    <n v="185.71194444451248"/>
    <x v="2"/>
    <n v="49.467777777754236"/>
    <n v="23.866111111070495"/>
    <x v="4"/>
    <s v="shortage"/>
    <s v="Buyer"/>
    <x v="5"/>
    <x v="5"/>
    <n v="1"/>
    <s v="short 652564-b21@@ 651281-b21@@+元旦休息1号到4号"/>
  </r>
  <r>
    <s v="TSG_MLDL_PF"/>
    <n v="313869109"/>
    <n v="1115268075"/>
    <s v="653200-B21 #AKM"/>
    <s v="HP DL380p Gen8 8-SFF CTO Server"/>
    <n v="4"/>
    <s v="4SHT41972427"/>
    <d v="2014-12-30T00:35:57"/>
    <d v="2015-01-07T00:00:00"/>
    <d v="2015-01-06T18:18:40"/>
    <d v="2014-12-30T20:30:00"/>
    <d v="2014-12-31T03:51:33"/>
    <d v="2014-12-31T16:34:34"/>
    <n v="20.076111111149658"/>
    <n v="185.71194444451248"/>
    <x v="2"/>
    <n v="19.90083333326038"/>
    <n v="145.73500000010245"/>
    <x v="3"/>
    <s v="Group order"/>
    <s v="WH"/>
    <x v="5"/>
    <x v="5"/>
    <n v="1"/>
    <s v="short 652564-b21@@"/>
  </r>
  <r>
    <s v="TSG_OEM_PF_MLDL"/>
    <n v="313869109"/>
    <n v="1115268073"/>
    <s v="691649-B21 #AKM"/>
    <s v="HP OEM DL360p Gen8 8-SFF CTO Server"/>
    <n v="2"/>
    <s v="4SHT41972427"/>
    <d v="2014-12-30T00:35:56"/>
    <d v="2015-01-07T00:00:00"/>
    <d v="2015-01-06T18:18:40"/>
    <d v="2014-12-30T18:10:00"/>
    <d v="2014-12-30T22:42:33"/>
    <d v="2014-12-31T13:34:18"/>
    <n v="19.404999999969732"/>
    <n v="185.71222222235519"/>
    <x v="2"/>
    <n v="17.567777777847368"/>
    <n v="148.73944444453809"/>
    <x v="3"/>
    <s v="Group order"/>
    <s v="WH"/>
    <x v="5"/>
    <x v="5"/>
    <n v="1"/>
    <m/>
  </r>
  <r>
    <s v="TSG_ENCL_PF"/>
    <n v="313869109"/>
    <n v="1115268072"/>
    <s v="681844-B21"/>
    <s v="HP BLc7000 CTO 3 IN LCD Plat Enclosure"/>
    <n v="2"/>
    <s v="4SHT41972427"/>
    <d v="2014-12-30T00:35:55"/>
    <d v="2015-01-07T00:00:00"/>
    <d v="2015-01-06T18:18:40"/>
    <d v="2014-12-30T13:26:00"/>
    <d v="2014-12-30T14:01:01"/>
    <d v="2014-12-31T09:44:07"/>
    <n v="20.301944444538094"/>
    <n v="185.71250000002328"/>
    <x v="2"/>
    <n v="12.834722222120035"/>
    <n v="152.57583333336515"/>
    <x v="3"/>
    <s v="Group order"/>
    <s v="WH"/>
    <x v="5"/>
    <x v="5"/>
    <n v="1"/>
    <m/>
  </r>
  <r>
    <s v="TSG_MLDL_PF"/>
    <n v="4051286607"/>
    <n v="1115192661"/>
    <s v="719064-B21 #AKM"/>
    <s v="HP DL380 Gen9 8SFF CTO Server"/>
    <n v="6"/>
    <s v="4SHT41969991"/>
    <d v="2014-12-29T01:13:56"/>
    <d v="2015-01-06T00:00:00"/>
    <d v="2015-01-05T16:27:18"/>
    <d v="2014-12-31T09:35:00"/>
    <d v="2014-12-31T14:26:07"/>
    <d v="2015-01-05T14:38:30"/>
    <n v="125.05833333340706"/>
    <n v="183.2227777778171"/>
    <x v="2"/>
    <n v="56.351111111172941"/>
    <n v="1.8133333332370967"/>
    <x v="4"/>
    <s v="shortage"/>
    <s v="Buyer"/>
    <x v="5"/>
    <x v="5"/>
    <n v="1"/>
    <s v="short 665249-b21@@+元旦休息1号到4号"/>
  </r>
  <r>
    <s v="TSG_BLD_PF"/>
    <n v="313856583"/>
    <n v="1115252356"/>
    <s v="727021-B21"/>
    <s v="HP BL460c Gen9 10Gb/20Gb FLB CTO Blade"/>
    <n v="1"/>
    <s v="4SHT41956597"/>
    <d v="2014-12-26T17:57:17"/>
    <d v="2014-12-31T00:00:00"/>
    <d v="2015-01-05T08:43:20"/>
    <d v="2014-12-27T12:28:00"/>
    <d v="2014-12-27T15:33:08"/>
    <d v="2014-12-29T02:06:06"/>
    <n v="37.635000000125729"/>
    <n v="230.76749999995809"/>
    <x v="2"/>
    <n v="18.511944444326218"/>
    <n v="174.62055555550614"/>
    <x v="3"/>
    <s v="PGI"/>
    <s v="WH"/>
    <x v="3"/>
    <x v="3"/>
    <n v="1"/>
    <m/>
  </r>
  <r>
    <s v="TSG_BLD_PF"/>
    <n v="313856583"/>
    <n v="1115252353"/>
    <s v="727021-B21"/>
    <s v="HP BL460c Gen9 10Gb/20Gb FLB CTO Blade"/>
    <n v="7"/>
    <s v="4SHT41956597"/>
    <d v="2014-12-26T17:58:17"/>
    <d v="2014-12-31T00:00:00"/>
    <d v="2015-01-05T08:43:20"/>
    <d v="2014-12-27T12:28:00"/>
    <d v="2014-12-27T15:36:53"/>
    <d v="2014-12-29T02:11:51"/>
    <n v="37.730833333334886"/>
    <n v="230.75083333341172"/>
    <x v="2"/>
    <n v="18.495277777779847"/>
    <n v="174.52472222229699"/>
    <x v="3"/>
    <s v="PGI"/>
    <s v="WH"/>
    <x v="3"/>
    <x v="3"/>
    <n v="1"/>
    <m/>
  </r>
  <r>
    <s v="TSG_BLD_PF"/>
    <n v="313856583"/>
    <n v="1115252355"/>
    <s v="679118-B21"/>
    <s v="HP BL660c Gen8 10/20Gb FLB CTO Blade"/>
    <n v="1"/>
    <s v="4SHT41956597"/>
    <d v="2014-12-26T17:58:17"/>
    <d v="2014-12-31T00:00:00"/>
    <d v="2015-01-05T08:43:20"/>
    <d v="2014-12-27T12:28:00"/>
    <d v="2014-12-27T16:05:43"/>
    <d v="2014-12-28T16:44:08"/>
    <n v="28.268888888997026"/>
    <n v="230.75083333341172"/>
    <x v="2"/>
    <n v="18.495277777779847"/>
    <n v="183.98666666663485"/>
    <x v="3"/>
    <s v="PGI"/>
    <s v="WH"/>
    <x v="3"/>
    <x v="3"/>
    <n v="1"/>
    <m/>
  </r>
  <r>
    <s v="TSG_ENCL_PF"/>
    <n v="313856583"/>
    <n v="1115252359"/>
    <s v="681840-B21"/>
    <s v="HP BLc7000 1PH 2PS 4Fan Trl IC Plat Encl"/>
    <n v="2"/>
    <s v="4SHT41956597"/>
    <d v="2014-12-26T17:58:17"/>
    <d v="2014-12-31T00:00:00"/>
    <d v="2015-01-05T08:43:20"/>
    <d v="2014-12-27T12:28:00"/>
    <d v="2014-12-27T17:03:14"/>
    <d v="2014-12-28T14:30:59"/>
    <n v="26.049722222203854"/>
    <n v="230.75083333341172"/>
    <x v="2"/>
    <n v="18.495277777779847"/>
    <n v="186.20583333342802"/>
    <x v="3"/>
    <s v="PGI"/>
    <s v="WH"/>
    <x v="3"/>
    <x v="3"/>
    <n v="1"/>
    <m/>
  </r>
  <r>
    <s v="TSG_BLD_PF"/>
    <n v="313856583"/>
    <n v="1115252354"/>
    <s v="679118-B21"/>
    <s v="HP BL660c Gen8 10/20Gb FLB CTO Blade"/>
    <n v="4"/>
    <s v="4SHT41956597"/>
    <d v="2014-12-26T17:58:18"/>
    <d v="2014-12-31T00:00:00"/>
    <d v="2015-01-05T08:43:20"/>
    <d v="2014-12-27T12:28:00"/>
    <d v="2014-12-27T16:07:56"/>
    <d v="2014-12-29T03:17:24"/>
    <n v="38.823333333421033"/>
    <n v="230.75055555556901"/>
    <x v="2"/>
    <n v="18.494999999937136"/>
    <n v="173.43222222221084"/>
    <x v="3"/>
    <s v="PGI"/>
    <s v="WH"/>
    <x v="3"/>
    <x v="3"/>
    <n v="1"/>
    <m/>
  </r>
  <r>
    <s v="TSG_MLDL_PF"/>
    <n v="313856583"/>
    <n v="1115252375"/>
    <s v="712317-AA1"/>
    <s v="HP MicroSvr Gen8 G1610T Entry NHP CN Svr"/>
    <n v="1"/>
    <s v="4SHT41956597"/>
    <d v="2014-12-26T17:58:17"/>
    <d v="2014-12-31T00:00:00"/>
    <d v="2015-01-05T08:43:20"/>
    <d v="2014-12-27T05:13:00"/>
    <d v="2014-12-27T10:37:06"/>
    <d v="2014-12-28T16:51:43"/>
    <n v="35.645277777628507"/>
    <n v="230.75083333341172"/>
    <x v="2"/>
    <n v="11.245277777896263"/>
    <n v="183.86027777788695"/>
    <x v="3"/>
    <s v="PGI"/>
    <s v="WH"/>
    <x v="3"/>
    <x v="3"/>
    <n v="1"/>
    <m/>
  </r>
  <r>
    <s v="TSG_MLDL_PF"/>
    <n v="313856583"/>
    <n v="1115252358"/>
    <s v="719064-B21 #AKM"/>
    <s v="HP DL380 Gen9 8SFF CTO Server"/>
    <n v="2"/>
    <s v="4SHT41956597"/>
    <d v="2014-12-26T17:59:16"/>
    <d v="2014-12-31T00:00:00"/>
    <d v="2015-01-05T08:43:20"/>
    <d v="2014-12-27T05:13:00"/>
    <d v="2014-12-27T12:24:55"/>
    <d v="2014-12-28T13:59:11"/>
    <n v="32.769722222175915"/>
    <n v="230.73444444453344"/>
    <x v="2"/>
    <n v="11.228888889017981"/>
    <n v="186.73583333333954"/>
    <x v="3"/>
    <s v="PGI"/>
    <s v="WH"/>
    <x v="3"/>
    <x v="3"/>
    <n v="1"/>
    <m/>
  </r>
  <r>
    <s v="TSG_MLDL_PF"/>
    <n v="313856288"/>
    <n v="1115250697"/>
    <s v="728551-B21 #AKM"/>
    <s v="HP DL580 Gen8 CTO Svr"/>
    <n v="1"/>
    <s v="4SHT41954532"/>
    <d v="2014-12-26T12:48:11"/>
    <d v="2014-12-31T00:00:00"/>
    <d v="2015-01-05T10:51:17"/>
    <d v="2014-12-27T03:13:00"/>
    <d v="2014-12-27T07:33:57"/>
    <d v="2014-12-28T16:28:39"/>
    <n v="37.260833333304618"/>
    <n v="238.05166666663717"/>
    <x v="2"/>
    <n v="14.413611111114733"/>
    <n v="186.37722222221782"/>
    <x v="3"/>
    <s v="PGI"/>
    <s v="WH"/>
    <x v="3"/>
    <x v="3"/>
    <n v="1"/>
    <m/>
  </r>
  <r>
    <s v="TSG_MLDL_PF"/>
    <n v="313856420"/>
    <n v="1115250059"/>
    <s v="654081-B21 #AKM"/>
    <s v="HP DL360p Gen8 8-SFF CTO Server"/>
    <n v="2"/>
    <s v="4SHT41949409"/>
    <d v="2014-12-25T19:08:56"/>
    <d v="2014-12-30T00:00:00"/>
    <d v="2015-01-06T22:15:42"/>
    <d v="2014-12-26T21:10:00"/>
    <d v="2014-12-27T01:53:51"/>
    <d v="2014-12-28T09:43:52"/>
    <n v="36.564444444375113"/>
    <n v="291.11277777777286"/>
    <x v="2"/>
    <n v="26.017777777800802"/>
    <n v="228.53055555559695"/>
    <x v="4"/>
    <s v="shortage"/>
    <s v="Buyer"/>
    <x v="5"/>
    <x v="5"/>
    <n v="1"/>
    <s v="short 746071-001"/>
  </r>
  <r>
    <s v="TSG_MLDL_PF"/>
    <n v="313856420"/>
    <n v="1115250058"/>
    <s v="654081-B21 #AKM"/>
    <s v="HP DL360p Gen8 8-SFF CTO Server"/>
    <n v="2"/>
    <s v="4SHT41949409"/>
    <d v="2014-12-25T19:08:56"/>
    <d v="2014-12-30T00:00:00"/>
    <d v="2015-01-06T22:15:42"/>
    <d v="2014-12-26T21:10:00"/>
    <d v="2014-12-27T02:29:43"/>
    <d v="2014-12-28T08:02:32"/>
    <n v="34.8755555555108"/>
    <n v="291.11277777777286"/>
    <x v="2"/>
    <n v="26.017777777800802"/>
    <n v="230.21944444446126"/>
    <x v="4"/>
    <s v="shortage"/>
    <s v="Buyer"/>
    <x v="5"/>
    <x v="5"/>
    <n v="1"/>
    <s v="short 746071-001"/>
  </r>
  <r>
    <s v="TSG_MLDL_PF"/>
    <n v="313856420"/>
    <n v="1115250057"/>
    <s v="654081-B21 #AKM"/>
    <s v="HP DL360p Gen8 8-SFF CTO Server"/>
    <n v="6"/>
    <s v="4SHT41949409"/>
    <d v="2014-12-25T19:09:57"/>
    <d v="2014-12-30T00:00:00"/>
    <d v="2015-01-06T22:15:42"/>
    <d v="2014-12-26T21:10:00"/>
    <d v="2014-12-27T03:55:28"/>
    <d v="2014-12-28T22:43:23"/>
    <n v="49.55638888879912"/>
    <n v="291.09583333338378"/>
    <x v="2"/>
    <n v="26.00083333341172"/>
    <n v="215.53861111117294"/>
    <x v="4"/>
    <s v="shortage"/>
    <s v="Buyer"/>
    <x v="5"/>
    <x v="5"/>
    <n v="1"/>
    <s v="short 746071-001+weekend 12/28"/>
  </r>
  <r>
    <s v="TSG_MLDL_PF"/>
    <n v="313856420"/>
    <n v="1115250056"/>
    <s v="654081-B21 #AKM"/>
    <s v="HP DL360p Gen8 8-SFF CTO Server"/>
    <n v="20"/>
    <s v="4SHT41949409"/>
    <d v="2014-12-25T19:11:57"/>
    <d v="2014-12-30T00:00:00"/>
    <d v="2015-01-06T22:15:42"/>
    <d v="2014-12-26T21:10:00"/>
    <d v="2014-12-27T04:53:22"/>
    <d v="2014-12-28T22:51:20"/>
    <n v="49.688888888864312"/>
    <n v="291.06249999994179"/>
    <x v="2"/>
    <n v="25.967499999969732"/>
    <n v="215.40611111110775"/>
    <x v="4"/>
    <s v="shortage"/>
    <s v="Buyer"/>
    <x v="5"/>
    <x v="5"/>
    <n v="1"/>
    <s v="short 746071-001+weekend 12/28"/>
  </r>
  <r>
    <s v="TSG_BLD_PF"/>
    <n v="313860728"/>
    <n v="1115254647"/>
    <s v="643785-B21"/>
    <s v="HP BL680c G7 W CTO Blade"/>
    <n v="1"/>
    <s v="4SHT41944306"/>
    <d v="2014-12-25T03:39:40"/>
    <d v="2014-12-31T00:00:00"/>
    <d v="2015-01-09T16:26:32"/>
    <d v="2015-01-08T13:02:43"/>
    <d v="2015-01-08T13:02:43"/>
    <d v="2015-01-09T14:48:51"/>
    <n v="25.76888888888061"/>
    <n v="372.78111111104954"/>
    <x v="2"/>
    <n v="345.38416666671401"/>
    <n v="1.628055555454921"/>
    <x v="4"/>
    <s v="shortage"/>
    <s v="Buyer"/>
    <x v="5"/>
    <x v="5"/>
    <n v="1"/>
    <s v="short 623461-001 eta 1/7 643399-504 eta 12/30"/>
  </r>
  <r>
    <s v="TSG_BLD_PF"/>
    <n v="313847590"/>
    <n v="1115239624"/>
    <s v="735151-B21"/>
    <s v="HP BL460c Gen8 E5-v2 10/20Gb CTO Blade"/>
    <n v="5"/>
    <s v="4SHT41944207"/>
    <d v="2014-12-25T03:07:39"/>
    <d v="2014-12-31T00:00:00"/>
    <d v="2015-01-05T18:34:25"/>
    <d v="2014-12-25T19:10:00"/>
    <d v="2014-12-26T12:52:16"/>
    <d v="2014-12-28T05:52:50"/>
    <n v="58.713888888945803"/>
    <n v="279.446111111145"/>
    <x v="2"/>
    <n v="16.039166666683741"/>
    <n v="204.69305555551546"/>
    <x v="3"/>
    <s v="Group order"/>
    <s v="WH"/>
    <x v="5"/>
    <x v="5"/>
    <n v="1"/>
    <s v="weekend 12/28"/>
  </r>
  <r>
    <s v="TSG_ENCL_PF"/>
    <n v="313847590"/>
    <n v="1115239626"/>
    <s v="681840-B21"/>
    <s v="HP BLc7000 1PH 2PS 4Fan Trl IC Plat Encl"/>
    <n v="1"/>
    <s v="4SHT41944207"/>
    <d v="2014-12-25T03:07:40"/>
    <d v="2014-12-31T00:00:00"/>
    <d v="2015-01-05T18:34:25"/>
    <d v="2014-12-26T11:00:00"/>
    <d v="2014-12-26T16:03:31"/>
    <d v="2014-12-28T16:06:38"/>
    <n v="53.110555555438623"/>
    <n v="279.44583333330229"/>
    <x v="2"/>
    <n v="31.872222222271375"/>
    <n v="194.46305555559229"/>
    <x v="4"/>
    <s v="shortage"/>
    <s v="Buyer"/>
    <x v="5"/>
    <x v="5"/>
    <n v="1"/>
    <s v="short 712987-b21+weekend 12/28"/>
  </r>
  <r>
    <s v="TSG_BLD_PF"/>
    <n v="313847590"/>
    <n v="1115239623"/>
    <s v="735151-B21"/>
    <s v="HP BL460c Gen8 E5-v2 10/20Gb CTO Blade"/>
    <n v="4"/>
    <s v="4SHT41944207"/>
    <d v="2014-12-25T03:07:40"/>
    <d v="2014-12-31T00:00:00"/>
    <d v="2015-01-05T18:34:25"/>
    <d v="2014-12-25T19:10:00"/>
    <d v="2014-12-26T13:14:18"/>
    <d v="2014-12-27T04:10:38"/>
    <n v="33.010555555578321"/>
    <n v="279.44583333330229"/>
    <x v="2"/>
    <n v="16.038888888841029"/>
    <n v="230.39638888888294"/>
    <x v="3"/>
    <s v="Group order"/>
    <s v="WH"/>
    <x v="5"/>
    <x v="5"/>
    <n v="1"/>
    <m/>
  </r>
  <r>
    <s v="TSG_BLD_PF"/>
    <n v="313847590"/>
    <n v="1115239622"/>
    <s v="735151-B21"/>
    <s v="HP BL460c Gen8 E5-v2 10/20Gb CTO Blade"/>
    <n v="6"/>
    <s v="4SHT41944207"/>
    <d v="2014-12-25T03:07:40"/>
    <d v="2014-12-31T00:00:00"/>
    <d v="2015-01-05T18:34:25"/>
    <d v="2014-12-27T10:15:00"/>
    <d v="2014-12-27T12:26:02"/>
    <d v="2014-12-28T06:40:16"/>
    <n v="20.421111111121718"/>
    <n v="279.44583333330229"/>
    <x v="2"/>
    <n v="55.122222222271375"/>
    <n v="203.9024999999092"/>
    <x v="4"/>
    <s v="shortage"/>
    <s v="Buyer"/>
    <x v="5"/>
    <x v="5"/>
    <n v="1"/>
    <s v="short 651281-b21@@"/>
  </r>
  <r>
    <s v="TSG_MLDL_PF"/>
    <n v="313847590"/>
    <n v="1115239625"/>
    <s v="686792-B21 #AKM"/>
    <s v="HP DL560 Gen8 CTO Server"/>
    <n v="1"/>
    <s v="4SHT41944207"/>
    <d v="2014-12-25T03:07:39"/>
    <d v="2014-12-31T00:00:00"/>
    <d v="2015-01-05T18:34:25"/>
    <d v="2014-12-25T18:27:00"/>
    <d v="2014-12-25T21:04:47"/>
    <d v="2014-12-26T23:13:44"/>
    <n v="28.778888888773508"/>
    <n v="279.446111111145"/>
    <x v="2"/>
    <n v="15.322500000125729"/>
    <n v="235.34472222224576"/>
    <x v="3"/>
    <s v="Group order"/>
    <s v="WH"/>
    <x v="5"/>
    <x v="5"/>
    <n v="1"/>
    <m/>
  </r>
  <r>
    <s v="TSG_BLD_PF"/>
    <n v="313860269"/>
    <n v="1115256072"/>
    <s v="735151-B21"/>
    <s v="HP BL460c Gen8 E5-v2 10/20Gb CTO Blade"/>
    <n v="5"/>
    <s v="4SHT41929957"/>
    <d v="2014-12-23T13:00:51"/>
    <d v="2014-12-26T00:00:00"/>
    <d v="2015-01-05T08:59:13"/>
    <d v="2014-12-24T12:56:00"/>
    <d v="2014-12-24T15:42:58"/>
    <d v="2014-12-25T19:45:48"/>
    <n v="30.829999999841675"/>
    <n v="307.97277777775889"/>
    <x v="2"/>
    <n v="23.919166666804813"/>
    <n v="253.2236111111124"/>
    <x v="3"/>
    <s v="PGI"/>
    <s v="WH"/>
    <x v="3"/>
    <x v="3"/>
    <n v="1"/>
    <m/>
  </r>
  <r>
    <s v="TSG_MLDL_PF"/>
    <n v="313799923"/>
    <n v="1115170279"/>
    <s v="728551-B21 #AKM"/>
    <s v="HP DL580 Gen8 CTO Svr"/>
    <n v="6"/>
    <s v="4SHT41904399"/>
    <d v="2014-12-19T19:57:26"/>
    <d v="2014-12-24T00:00:00"/>
    <d v="2015-01-07T22:36:06"/>
    <d v="2014-12-20T09:12:00"/>
    <d v="2014-12-20T12:05:14"/>
    <d v="2014-12-21T20:08:26"/>
    <n v="34.940555555687752"/>
    <n v="458.64444444444962"/>
    <x v="2"/>
    <n v="13.242777777719311"/>
    <n v="410.46111111104256"/>
    <x v="3"/>
    <s v="PGI"/>
    <s v="WH"/>
    <x v="3"/>
    <x v="3"/>
    <n v="1"/>
    <m/>
  </r>
  <r>
    <s v="TSG_MLDL_PF"/>
    <n v="313799923"/>
    <n v="1115170280"/>
    <s v="653200-B21 #AKM"/>
    <s v="HP DL380p Gen8 8-SFF CTO Server"/>
    <n v="2"/>
    <s v="4SHT41904399"/>
    <d v="2014-12-19T19:56:25"/>
    <d v="2014-12-24T00:00:00"/>
    <d v="2015-01-07T22:36:07"/>
    <d v="2014-12-20T09:12:00"/>
    <d v="2014-12-20T11:51:11"/>
    <d v="2014-12-21T07:42:13"/>
    <n v="22.503611111082137"/>
    <n v="458.66166666668141"/>
    <x v="2"/>
    <n v="13.259722222108394"/>
    <n v="422.89833333349088"/>
    <x v="3"/>
    <s v="PGI"/>
    <s v="WH"/>
    <x v="3"/>
    <x v="3"/>
    <n v="1"/>
    <m/>
  </r>
  <r>
    <s v="TSG_MLDL_PF"/>
    <n v="313878702"/>
    <n v="1115273284"/>
    <s v="722446-B21 #AKM"/>
    <s v="HP ML310e Gen8 v2 4LFF CTO Svr"/>
    <n v="3"/>
    <s v="4QDT42012936"/>
    <d v="2015-01-06T13:36:14"/>
    <d v="2015-01-09T00:00:00"/>
    <d v="2015-01-08T18:48:13"/>
    <d v="2015-01-06T21:30:00"/>
    <d v="2015-01-07T01:52:58"/>
    <d v="2015-01-08T16:50:38"/>
    <n v="43.343888888892252"/>
    <n v="53.19972222216893"/>
    <x v="3"/>
    <n v="7.8961111111566424"/>
    <n v="1.9597222221200354"/>
    <x v="1"/>
    <s v="setting"/>
    <s v="PE"/>
    <x v="1"/>
    <x v="1"/>
    <n v="1"/>
    <s v="solconfig issue 2015/1/7 (周三) 3:32"/>
  </r>
  <r>
    <s v="TSG_MLDL_PF"/>
    <n v="313839553"/>
    <n v="1115227830"/>
    <s v="728551-B21 #AKM"/>
    <s v="HP DL580 Gen8 CTO Svr"/>
    <n v="3"/>
    <s v="4NNT41977122"/>
    <d v="2014-12-30T03:09:57"/>
    <d v="2015-01-07T00:00:00"/>
    <d v="2015-01-06T09:31:33"/>
    <d v="2014-12-31T20:47:00"/>
    <d v="2015-01-01T00:21:27"/>
    <d v="2015-01-06T07:57:18"/>
    <n v="131.17166666669073"/>
    <n v="174.35999999998603"/>
    <x v="0"/>
    <n v="41.617499999993015"/>
    <n v="1.5708333333022892"/>
    <x v="0"/>
    <m/>
    <m/>
    <x v="0"/>
    <x v="0"/>
    <n v="1"/>
    <s v="short 729446-001 732411-b21@@+元旦休息1号到4号"/>
  </r>
  <r>
    <s v="TSG_MLDL_PF"/>
    <n v="313887672"/>
    <n v="1115295272"/>
    <s v="654081-B21 #AKM"/>
    <s v="HP DL360p Gen8 8-SFF CTO Server"/>
    <n v="6"/>
    <s v="4NJT42014784"/>
    <d v="2015-01-06T19:58:29"/>
    <d v="2015-01-12T00:00:00"/>
    <d v="2015-01-08T17:29:15"/>
    <d v="2015-01-07T14:30:00"/>
    <d v="2015-01-07T16:14:28"/>
    <d v="2015-01-08T15:23:14"/>
    <n v="24.887222222343553"/>
    <n v="45.51277777767973"/>
    <x v="0"/>
    <n v="18.525277777633164"/>
    <n v="2.1002777777030133"/>
    <x v="0"/>
    <m/>
    <m/>
    <x v="0"/>
    <x v="0"/>
    <n v="1"/>
    <m/>
  </r>
  <r>
    <s v="TSG_BLD_PF"/>
    <n v="313866378"/>
    <n v="1115265145"/>
    <s v="518878-B21"/>
    <s v="HP BL685c G7 CTO Blade"/>
    <n v="2"/>
    <s v="4NJT42006146"/>
    <d v="2015-01-05T02:04:46"/>
    <d v="2015-01-09T00:00:00"/>
    <d v="2015-01-09T09:31:23"/>
    <d v="2015-01-06T08:47:00"/>
    <d v="2015-01-06T15:47:54"/>
    <d v="2015-01-09T07:21:40"/>
    <n v="70.577777777798474"/>
    <n v="103.44361111120088"/>
    <x v="1"/>
    <n v="30.70388888893649"/>
    <n v="2.1619444444659166"/>
    <x v="2"/>
    <s v="Special"/>
    <s v="Others"/>
    <x v="2"/>
    <x v="2"/>
    <n v="1"/>
    <s v="刀片无夜班生产"/>
  </r>
  <r>
    <s v="TSG_BLD_PF"/>
    <n v="313866378"/>
    <n v="1115265146"/>
    <s v="634975-B21"/>
    <s v="HP BL465c Gen8 10Gb Flb CTO Blade"/>
    <n v="11"/>
    <s v="4NJT42006146"/>
    <d v="2015-01-05T02:06:48"/>
    <d v="2015-01-09T00:00:00"/>
    <d v="2015-01-09T09:31:23"/>
    <d v="2015-01-06T08:47:00"/>
    <d v="2015-01-06T15:22:17"/>
    <d v="2015-01-08T12:21:18"/>
    <n v="51.571666666714009"/>
    <n v="103.40972222224809"/>
    <x v="1"/>
    <n v="30.669999999983702"/>
    <n v="21.168055555550382"/>
    <x v="2"/>
    <s v="Special"/>
    <s v="Others"/>
    <x v="2"/>
    <x v="2"/>
    <n v="1"/>
    <s v="刀片夜班生产"/>
  </r>
  <r>
    <s v="TSG_MLDL_PF"/>
    <n v="313877726"/>
    <n v="1115280819"/>
    <s v="665553-B21 #AKM"/>
    <s v="HP DL380p Gen8 8-LFF CTO Server"/>
    <n v="2"/>
    <s v="4NJT41984651"/>
    <d v="2014-12-31T09:36:29"/>
    <d v="2015-01-07T00:00:00"/>
    <d v="2015-01-06T04:51:27"/>
    <d v="2014-12-31T16:23:00"/>
    <d v="2014-12-31T20:48:19"/>
    <d v="2015-01-05T13:00:56"/>
    <n v="116.6322222223389"/>
    <n v="139.24944444437278"/>
    <x v="0"/>
    <n v="6.7752777777495794"/>
    <n v="15.841944444284309"/>
    <x v="0"/>
    <m/>
    <m/>
    <x v="0"/>
    <x v="0"/>
    <n v="1"/>
    <s v="元旦休息1号到4号"/>
  </r>
  <r>
    <s v="TSG_MLDL_PF"/>
    <n v="313877726"/>
    <n v="1115280820"/>
    <s v="665553-B21 #AKM"/>
    <s v="HP DL380p Gen8 8-LFF CTO Server"/>
    <n v="3"/>
    <s v="4NJT41984651"/>
    <d v="2014-12-31T09:36:30"/>
    <d v="2015-01-07T00:00:00"/>
    <d v="2015-01-06T04:51:27"/>
    <d v="2014-12-31T16:23:00"/>
    <d v="2014-12-31T20:55:48"/>
    <d v="2015-01-06T01:28:55"/>
    <n v="129.0986111111124"/>
    <n v="139.24916666653007"/>
    <x v="0"/>
    <n v="6.7749999999068677"/>
    <n v="3.3755555555108003"/>
    <x v="0"/>
    <m/>
    <m/>
    <x v="0"/>
    <x v="0"/>
    <n v="1"/>
    <s v="元旦休息1号到4号"/>
  </r>
  <r>
    <s v="TSG_MLDL_PF"/>
    <n v="313877726"/>
    <n v="1115280823"/>
    <s v="665553-B21 #AKM"/>
    <s v="HP DL380p Gen8 8-LFF CTO Server"/>
    <n v="4"/>
    <s v="4NJT41984651"/>
    <d v="2014-12-31T09:36:32"/>
    <d v="2015-01-07T00:00:00"/>
    <d v="2015-01-06T04:51:27"/>
    <d v="2014-12-31T16:23:00"/>
    <d v="2014-12-31T21:02:43"/>
    <d v="2015-01-06T02:05:10"/>
    <n v="129.70277777774027"/>
    <n v="139.24861111101927"/>
    <x v="0"/>
    <n v="6.7744444443960674"/>
    <n v="2.7713888888829388"/>
    <x v="0"/>
    <m/>
    <m/>
    <x v="0"/>
    <x v="0"/>
    <n v="1"/>
    <s v="元旦休息1号到4号"/>
  </r>
  <r>
    <s v="TSG_MLDL_PF"/>
    <n v="313877726"/>
    <n v="1115280824"/>
    <s v="665553-B21 #AKM"/>
    <s v="HP DL380p Gen8 8-LFF CTO Server"/>
    <n v="12"/>
    <s v="4NJT41984651"/>
    <d v="2014-12-31T09:38:29"/>
    <d v="2015-01-07T00:00:00"/>
    <d v="2015-01-06T04:51:27"/>
    <d v="2014-12-31T16:23:00"/>
    <d v="2014-12-31T21:33:06"/>
    <d v="2015-01-06T02:20:44"/>
    <n v="129.96222222223878"/>
    <n v="139.21611111110542"/>
    <x v="0"/>
    <n v="6.7419444444822147"/>
    <n v="2.5119444443844259"/>
    <x v="0"/>
    <m/>
    <m/>
    <x v="0"/>
    <x v="0"/>
    <n v="1"/>
    <s v="元旦休息1号到4号"/>
  </r>
  <r>
    <s v="TSG_MLDL_PF"/>
    <n v="313877726"/>
    <n v="1115280816"/>
    <s v="665553-B21 #AKM"/>
    <s v="HP DL380p Gen8 8-LFF CTO Server"/>
    <n v="7"/>
    <s v="4NJT41984651"/>
    <d v="2014-12-31T09:37:30"/>
    <d v="2015-01-07T00:00:00"/>
    <d v="2015-01-06T04:51:27"/>
    <d v="2014-12-31T16:23:00"/>
    <d v="2014-12-31T21:00:43"/>
    <d v="2015-01-06T02:22:55"/>
    <n v="129.99861111107748"/>
    <n v="139.2324999999837"/>
    <x v="0"/>
    <n v="6.7583333333604969"/>
    <n v="2.4755555555457249"/>
    <x v="0"/>
    <m/>
    <m/>
    <x v="0"/>
    <x v="0"/>
    <n v="1"/>
    <s v="元旦休息1号到4号"/>
  </r>
  <r>
    <s v="TSG_ENCL_PF"/>
    <n v="313866378"/>
    <n v="1115265141"/>
    <s v="681844-B21"/>
    <s v="HP BLc7000 CTO 3 IN LCD Plat Enclosure"/>
    <n v="2"/>
    <s v="4NJT41981760"/>
    <d v="2014-12-30T20:05:12"/>
    <d v="2015-01-06T00:00:00"/>
    <d v="2015-01-05T12:43:19"/>
    <d v="2014-12-31T08:49:00"/>
    <d v="2014-12-31T10:27:51"/>
    <d v="2014-12-31T17:07:25"/>
    <n v="8.3069444444845431"/>
    <n v="136.63527777779382"/>
    <x v="2"/>
    <n v="12.729999999864958"/>
    <n v="115.59833333344432"/>
    <x v="3"/>
    <s v="PGI"/>
    <s v="WH"/>
    <x v="3"/>
    <x v="3"/>
    <n v="1"/>
    <m/>
  </r>
  <r>
    <s v="TSG_MLDL_PF"/>
    <n v="313868946"/>
    <n v="1115273244"/>
    <s v="653200-B21 #AKM"/>
    <s v="HP DL380p Gen8 8-SFF CTO Server"/>
    <n v="1"/>
    <s v="4NJT41977165"/>
    <d v="2014-12-30T02:00:57"/>
    <d v="2015-01-07T00:00:00"/>
    <d v="2015-01-06T00:05:23"/>
    <d v="2014-12-30T18:10:00"/>
    <d v="2014-12-31T00:06:50"/>
    <d v="2014-12-31T15:38:01"/>
    <n v="21.466944444458932"/>
    <n v="166.07388888899004"/>
    <x v="2"/>
    <n v="16.150833333435003"/>
    <n v="128.45611111109611"/>
    <x v="3"/>
    <s v="PGI"/>
    <s v="WH"/>
    <x v="3"/>
    <x v="3"/>
    <n v="1"/>
    <m/>
  </r>
  <r>
    <s v="TSG_MLDL_PF"/>
    <n v="313824339"/>
    <n v="1115204930"/>
    <s v="728551-B21 #AKM"/>
    <s v="HP DL580 Gen8 CTO Svr"/>
    <n v="2"/>
    <s v="4NJT41977120"/>
    <d v="2014-12-30T01:47:56"/>
    <d v="2015-01-07T00:00:00"/>
    <d v="2015-01-06T09:31:33"/>
    <d v="2014-12-31T20:47:00"/>
    <d v="2014-12-31T23:45:58"/>
    <d v="2015-01-06T07:30:22"/>
    <n v="130.7227777778171"/>
    <n v="175.72694444441004"/>
    <x v="0"/>
    <n v="42.984444444417022"/>
    <n v="2.0197222221759148"/>
    <x v="0"/>
    <m/>
    <m/>
    <x v="0"/>
    <x v="0"/>
    <n v="1"/>
    <s v="short 729446-001 652564-b21@@ 732411-b21@@+元旦休息1号到4号"/>
  </r>
  <r>
    <s v="TSG_MLDL_PF"/>
    <n v="313824339"/>
    <n v="1115204932"/>
    <s v="728551-B21 #AKM"/>
    <s v="HP DL580 Gen8 CTO Svr"/>
    <n v="2"/>
    <s v="4NJT41977119"/>
    <d v="2014-12-30T01:47:56"/>
    <d v="2015-01-07T00:00:00"/>
    <d v="2015-01-06T09:31:33"/>
    <d v="2014-12-31T20:47:00"/>
    <d v="2014-12-31T23:52:58"/>
    <d v="2015-01-06T07:56:20"/>
    <n v="131.15555555548053"/>
    <n v="175.72694444441004"/>
    <x v="0"/>
    <n v="42.984444444417022"/>
    <n v="1.5869444445124827"/>
    <x v="0"/>
    <m/>
    <m/>
    <x v="0"/>
    <x v="0"/>
    <n v="1"/>
    <s v="short 729446-001 652564-b21@@ 732411-b21@@+元旦休息1号到4号"/>
  </r>
  <r>
    <s v="TSG_MLDL_PF"/>
    <n v="313824338"/>
    <n v="1115203687"/>
    <s v="728551-B21 #AKM"/>
    <s v="HP DL580 Gen8 CTO Svr"/>
    <n v="1"/>
    <s v="4NJT41976838"/>
    <d v="2014-12-30T00:34:55"/>
    <d v="2015-01-07T00:00:00"/>
    <d v="2015-01-06T00:05:23"/>
    <d v="2014-12-31T20:47:00"/>
    <d v="2015-01-01T00:01:23"/>
    <d v="2015-01-05T22:34:21"/>
    <n v="121.78916666668374"/>
    <n v="167.50777777779149"/>
    <x v="0"/>
    <n v="44.201388888875954"/>
    <n v="1.5172222222317941"/>
    <x v="0"/>
    <m/>
    <m/>
    <x v="0"/>
    <x v="0"/>
    <n v="1"/>
    <s v="short 729446-001 732411-b21@@+元旦休息1号到4号"/>
  </r>
  <r>
    <s v="TSG_BLD_PF"/>
    <n v="313824339"/>
    <n v="1115283882"/>
    <s v="643785-B21"/>
    <s v="HP BL680c G7 W CTO Blade"/>
    <n v="2"/>
    <s v="4NJT41949771"/>
    <d v="2015-01-06T13:35:13"/>
    <d v="2015-01-09T00:00:00"/>
    <d v="2015-01-09T09:31:23"/>
    <d v="2015-01-08T09:00:00"/>
    <d v="2015-01-08T13:04:17"/>
    <d v="2015-01-09T07:57:33"/>
    <n v="22.959166666609235"/>
    <n v="67.93611111107748"/>
    <x v="2"/>
    <n v="43.413055555487517"/>
    <n v="1.5638888889807276"/>
    <x v="4"/>
    <s v="shortage"/>
    <s v="Buyer"/>
    <x v="5"/>
    <x v="5"/>
    <n v="1"/>
    <s v="short 623461-001"/>
  </r>
  <r>
    <s v="TSG_MLDL_PF"/>
    <n v="313890261"/>
    <n v="1115301070"/>
    <s v="653203-B21 #AKM"/>
    <s v="HP DL385p Gen8 8-SFF CTO Server"/>
    <n v="2"/>
    <s v="4N3T42014788"/>
    <d v="2015-01-06T19:58:22"/>
    <d v="2015-01-12T00:00:00"/>
    <d v="2015-01-08T16:42:14"/>
    <d v="2015-01-07T09:17:00"/>
    <d v="2015-01-07T13:08:58"/>
    <d v="2015-01-08T15:16:58"/>
    <n v="29.999444444314577"/>
    <n v="44.73111111111939"/>
    <x v="0"/>
    <n v="13.310555555624887"/>
    <n v="1.4211111111799255"/>
    <x v="0"/>
    <m/>
    <m/>
    <x v="0"/>
    <x v="0"/>
    <n v="1"/>
    <m/>
  </r>
  <r>
    <s v="TSG_MLDL_PF"/>
    <n v="313804258"/>
    <n v="1115172985"/>
    <s v="669257-B21 #AKM"/>
    <s v="HP DL380e Gen8 12LFF CTO Server"/>
    <n v="55"/>
    <s v="4L5T41981028"/>
    <d v="2014-12-30T17:31:10"/>
    <d v="2015-01-06T00:00:00"/>
    <d v="2015-01-05T18:18:19"/>
    <d v="2014-12-31T12:59:00"/>
    <d v="2014-12-31T17:35:28"/>
    <d v="2015-01-05T16:45:16"/>
    <n v="123.77111111098202"/>
    <n v="144.7858333333279"/>
    <x v="0"/>
    <n v="19.463888889004011"/>
    <n v="1.5508333333418705"/>
    <x v="0"/>
    <m/>
    <m/>
    <x v="0"/>
    <x v="0"/>
    <n v="1"/>
    <s v="元旦休息1号到4号"/>
  </r>
  <r>
    <s v="TSG_MLDL_PF"/>
    <n v="313804258"/>
    <n v="1115172984"/>
    <s v="669257-B21 #AKM"/>
    <s v="HP DL380e Gen8 12LFF CTO Server"/>
    <n v="40"/>
    <s v="4L5T41980332"/>
    <d v="2014-12-30T15:33:10"/>
    <d v="2015-01-06T00:00:00"/>
    <d v="2015-01-05T08:59:13"/>
    <d v="2014-12-31T12:30:00"/>
    <d v="2014-12-31T02:28:18"/>
    <d v="2015-01-01T04:21:39"/>
    <n v="15.860833333223127"/>
    <n v="137.43416666658595"/>
    <x v="2"/>
    <n v="20.947222222283017"/>
    <n v="100.62611111107981"/>
    <x v="3"/>
    <s v="PGI"/>
    <s v="WH"/>
    <x v="3"/>
    <x v="3"/>
    <n v="1"/>
    <s v="Diags issue(RC0010) 2014/12/31 (周三) 13:48"/>
  </r>
  <r>
    <s v="TSG_MLDL_PF"/>
    <n v="313886310"/>
    <n v="1115291072"/>
    <s v="703586-B21 #AKM"/>
    <s v="HP DL580R07 CN CTO Server"/>
    <n v="1"/>
    <s v="4KMT42012946"/>
    <d v="2015-01-06T13:36:14"/>
    <d v="2015-01-09T00:00:00"/>
    <d v="2015-01-07T17:50:57"/>
    <d v="2015-01-06T21:30:00"/>
    <d v="2015-01-07T01:48:01"/>
    <d v="2015-01-07T15:53:36"/>
    <n v="18.393333333253395"/>
    <n v="28.245277777779847"/>
    <x v="0"/>
    <n v="7.8961111111566424"/>
    <n v="1.9558333333698101"/>
    <x v="0"/>
    <m/>
    <m/>
    <x v="0"/>
    <x v="0"/>
    <n v="1"/>
    <m/>
  </r>
  <r>
    <s v="TSG_MLDL_PF"/>
    <n v="313886310"/>
    <n v="1115291073"/>
    <s v="653200-B21 #AKM"/>
    <s v="HP DL380p Gen8 8-SFF CTO Server"/>
    <n v="1"/>
    <s v="4KMT42012946"/>
    <d v="2015-01-06T13:36:25"/>
    <d v="2015-01-09T00:00:00"/>
    <d v="2015-01-07T17:50:57"/>
    <d v="2015-01-06T21:30:00"/>
    <d v="2015-01-07T01:43:33"/>
    <d v="2015-01-07T15:07:49"/>
    <n v="17.630277777789161"/>
    <n v="28.242222222208511"/>
    <x v="0"/>
    <n v="7.8930555555853061"/>
    <n v="2.7188888888340443"/>
    <x v="0"/>
    <m/>
    <m/>
    <x v="0"/>
    <x v="0"/>
    <n v="1"/>
    <m/>
  </r>
  <r>
    <s v="TSG_MLDL_PF"/>
    <n v="313880505"/>
    <n v="1115284933"/>
    <s v="653200-B21 #AKM"/>
    <s v="HP DL380p Gen8 8-SFF CTO Server"/>
    <n v="32"/>
    <s v="4KLT41980041"/>
    <d v="2014-12-30T14:39:08"/>
    <d v="2015-01-07T00:00:00"/>
    <d v="2015-01-06T00:05:24"/>
    <d v="2014-12-31T09:35:00"/>
    <d v="2014-12-31T12:09:12"/>
    <d v="2015-01-05T12:12:06"/>
    <n v="122.61833333334653"/>
    <n v="153.4377777777845"/>
    <x v="0"/>
    <n v="18.931111111014616"/>
    <n v="11.888333333423361"/>
    <x v="0"/>
    <m/>
    <m/>
    <x v="0"/>
    <x v="0"/>
    <n v="1"/>
    <s v="元旦休息1号到4号"/>
  </r>
  <r>
    <s v="TSG_MLDL_PF"/>
    <n v="313880505"/>
    <n v="1115284932"/>
    <s v="728551-B21 #AKM"/>
    <s v="HP DL580 Gen8 CTO Svr"/>
    <n v="2"/>
    <s v="4KLT41980041"/>
    <d v="2014-12-30T14:35:07"/>
    <d v="2015-01-07T00:00:00"/>
    <d v="2015-01-06T00:05:24"/>
    <d v="2014-12-31T20:47:00"/>
    <d v="2015-01-01T00:51:30"/>
    <d v="2015-01-05T22:34:34"/>
    <n v="121.79277777776588"/>
    <n v="153.50472222233657"/>
    <x v="0"/>
    <n v="30.198055555578321"/>
    <n v="1.5138888889923692"/>
    <x v="0"/>
    <m/>
    <m/>
    <x v="0"/>
    <x v="0"/>
    <n v="1"/>
    <s v="short 732411-b21@@ 729446-001+元旦休息1号到4号"/>
  </r>
  <r>
    <s v="TSG_MLDL_PF"/>
    <n v="313883476"/>
    <n v="1115290262"/>
    <s v="675421-371"/>
    <s v="HP DL320e Gen8 E3-1220v2 Hot Plug AP Svr"/>
    <n v="1"/>
    <s v="4KDA42006181"/>
    <d v="2015-01-05T02:12:47"/>
    <d v="2015-01-09T00:00:00"/>
    <d v="2015-01-07T04:21:45"/>
    <d v="2015-01-06T07:00:00"/>
    <d v="2015-01-06T12:04:39"/>
    <d v="2015-01-07T00:53:03"/>
    <n v="17.884166666655801"/>
    <n v="50.149444444512483"/>
    <x v="0"/>
    <n v="28.786944444465917"/>
    <n v="3.4783333333907649"/>
    <x v="0"/>
    <m/>
    <m/>
    <x v="0"/>
    <x v="0"/>
    <n v="1"/>
    <m/>
  </r>
  <r>
    <s v="TSG_MLDL_PF"/>
    <n v="313882649"/>
    <n v="1115287206"/>
    <s v="675421-371"/>
    <s v="HP DL320e Gen8 E3-1220v2 Hot Plug AP Svr"/>
    <n v="1"/>
    <s v="4KDA42006179"/>
    <d v="2015-01-05T02:12:48"/>
    <d v="2015-01-09T00:00:00"/>
    <d v="2015-01-07T04:21:45"/>
    <d v="2015-01-06T07:00:00"/>
    <d v="2015-01-06T12:03:46"/>
    <d v="2015-01-07T01:51:10"/>
    <n v="18.852777777879965"/>
    <n v="50.149166666669771"/>
    <x v="0"/>
    <n v="28.786666666623205"/>
    <n v="2.5097222221666016"/>
    <x v="0"/>
    <m/>
    <m/>
    <x v="0"/>
    <x v="0"/>
    <n v="1"/>
    <m/>
  </r>
  <r>
    <s v="TSG_MLDL_PF"/>
    <n v="313884102"/>
    <n v="1115288228"/>
    <s v="755258-B21 #AKM"/>
    <s v="HP DL360 Gen9 8SFF CTO Server"/>
    <n v="1"/>
    <s v="4JXT41986819"/>
    <d v="2014-12-31T16:42:35"/>
    <d v="2015-01-07T00:00:00"/>
    <d v="2015-01-06T16:26:50"/>
    <d v="2015-01-05T08:30:00"/>
    <d v="2015-01-05T12:43:41"/>
    <d v="2015-01-06T14:13:36"/>
    <n v="29.726666666683741"/>
    <n v="143.73750000010477"/>
    <x v="2"/>
    <n v="111.79027777776355"/>
    <n v="2.2205555556574836"/>
    <x v="2"/>
    <s v="Special"/>
    <s v="Others"/>
    <x v="2"/>
    <x v="2"/>
    <n v="1"/>
    <m/>
  </r>
  <r>
    <s v="TSG_BLD_PF"/>
    <n v="313866381"/>
    <n v="1115265156"/>
    <s v="518878-B21"/>
    <s v="HP BL685c G7 CTO Blade"/>
    <n v="2"/>
    <s v="4JNT42016507"/>
    <d v="2015-01-07T01:53:41"/>
    <d v="2015-01-13T00:00:00"/>
    <d v="2015-01-09T21:43:33"/>
    <d v="2015-01-07T13:07:00"/>
    <d v="2015-01-07T16:08:08"/>
    <d v="2015-01-09T07:57:14"/>
    <n v="42.837222222180571"/>
    <n v="67.831111110979691"/>
    <x v="1"/>
    <n v="11.221944444347173"/>
    <n v="13.771944444451947"/>
    <x v="2"/>
    <s v="Special"/>
    <s v="Others"/>
    <x v="2"/>
    <x v="2"/>
    <n v="1"/>
    <s v="刀片无夜班生产"/>
  </r>
  <r>
    <s v="TSG_BLD_PF"/>
    <n v="313866381"/>
    <n v="1115265158"/>
    <s v="518878-B21"/>
    <s v="HP BL685c G7 CTO Blade"/>
    <n v="2"/>
    <s v="4JNT42016507"/>
    <d v="2015-01-07T01:53:32"/>
    <d v="2015-01-13T00:00:00"/>
    <d v="2015-01-09T21:43:33"/>
    <d v="2015-01-07T13:07:00"/>
    <d v="2015-01-07T16:04:39"/>
    <d v="2015-01-09T14:48:25"/>
    <n v="49.690277777728625"/>
    <n v="67.833611111040227"/>
    <x v="1"/>
    <n v="11.224444444407709"/>
    <n v="6.9188888889038935"/>
    <x v="2"/>
    <s v="Special"/>
    <s v="Others"/>
    <x v="2"/>
    <x v="2"/>
    <n v="1"/>
    <s v="刀片无夜班生产"/>
  </r>
  <r>
    <s v="TSG_MLDL_PF"/>
    <n v="313883871"/>
    <n v="1115291843"/>
    <s v="719064-B21 #AKM"/>
    <s v="HP DL380 Gen9 8SFF CTO Server"/>
    <n v="2"/>
    <s v="4JNT42014034"/>
    <d v="2015-01-06T17:35:27"/>
    <d v="2015-01-12T00:00:00"/>
    <d v="2015-01-08T15:22:15"/>
    <d v="2015-01-07T09:17:00"/>
    <d v="2015-01-07T15:26:40"/>
    <d v="2015-01-08T13:29:03"/>
    <n v="28.200833333248738"/>
    <n v="45.78000000002794"/>
    <x v="0"/>
    <n v="15.692500000004657"/>
    <n v="1.8866666667745449"/>
    <x v="0"/>
    <m/>
    <m/>
    <x v="0"/>
    <x v="0"/>
    <n v="1"/>
    <m/>
  </r>
  <r>
    <s v="TSG_BLD_PF"/>
    <n v="313859325"/>
    <n v="1115255941"/>
    <s v="739348-B21"/>
    <s v="HP WS460c Gen8 E5-v2 CTO Exp Blade"/>
    <n v="3"/>
    <s v="4JNT41977132"/>
    <d v="2014-12-30T01:50:56"/>
    <d v="2015-01-07T00:00:00"/>
    <d v="2015-01-07T18:07:01"/>
    <d v="2015-01-06T08:41:00"/>
    <d v="2015-01-06T13:07:22"/>
    <d v="2015-01-07T16:03:22"/>
    <n v="31.372777777723968"/>
    <n v="208.26805555546889"/>
    <x v="2"/>
    <n v="174.83444444445195"/>
    <n v="2.060833333292976"/>
    <x v="4"/>
    <s v="shortage"/>
    <s v="Buyer"/>
    <x v="5"/>
    <x v="5"/>
    <n v="1"/>
    <s v="short 708166-001 691904-003 665078-002 652564-b21@@"/>
  </r>
  <r>
    <s v="TSG_BLD_PF"/>
    <n v="313898232"/>
    <n v="1115309648"/>
    <s v="735151-B21"/>
    <s v="HP BL460c Gen8 E5-v2 10/20Gb CTO Blade"/>
    <n v="1"/>
    <s v="4HZT42023357"/>
    <d v="2015-01-08T10:38:03"/>
    <d v="2015-01-12T00:00:00"/>
    <d v="2015-01-10T17:26:47"/>
    <d v="2015-01-09T15:38:00"/>
    <d v="2015-01-09T15:50:27"/>
    <d v="2015-01-10T14:40:17"/>
    <n v="23.038055555603933"/>
    <n v="54.812222222273704"/>
    <x v="0"/>
    <n v="28.999166666704696"/>
    <n v="2.7749999999650754"/>
    <x v="0"/>
    <m/>
    <m/>
    <x v="0"/>
    <x v="0"/>
    <n v="1"/>
    <m/>
  </r>
  <r>
    <s v="TSG_MLDL_PF"/>
    <n v="313898227"/>
    <n v="1115309639"/>
    <s v="719064-B21 #AKM"/>
    <s v="HP DL380 Gen9 8SFF CTO Server"/>
    <n v="2"/>
    <s v="4HZT42019339"/>
    <d v="2015-01-07T15:39:55"/>
    <d v="2015-01-12T00:00:00"/>
    <d v="2015-01-09T08:43:22"/>
    <d v="2015-01-07T22:06:00"/>
    <d v="2015-01-08T09:47:54"/>
    <d v="2015-01-09T04:50:40"/>
    <n v="30.744444444542751"/>
    <n v="41.057500000053551"/>
    <x v="0"/>
    <n v="6.4347222222131677"/>
    <n v="3.8783333332976326"/>
    <x v="0"/>
    <m/>
    <m/>
    <x v="0"/>
    <x v="0"/>
    <n v="1"/>
    <m/>
  </r>
  <r>
    <s v="TSG_MLDL_PF"/>
    <n v="313898226"/>
    <n v="1115309637"/>
    <s v="719064-B21 #AKM"/>
    <s v="HP DL380 Gen9 8SFF CTO Server"/>
    <n v="10"/>
    <s v="4HZT42019338"/>
    <d v="2015-01-07T15:41:44"/>
    <d v="2015-01-12T00:00:00"/>
    <d v="2015-01-09T08:43:22"/>
    <d v="2015-01-07T22:06:00"/>
    <d v="2015-01-08T08:50:16"/>
    <d v="2015-01-09T05:48:59"/>
    <n v="31.716388889006339"/>
    <n v="41.0272222221829"/>
    <x v="0"/>
    <n v="6.4044444443425164"/>
    <n v="2.9063888888340443"/>
    <x v="0"/>
    <m/>
    <m/>
    <x v="0"/>
    <x v="0"/>
    <n v="1"/>
    <m/>
  </r>
  <r>
    <s v="TSG_MLDL_PF"/>
    <n v="313898225"/>
    <n v="1115309635"/>
    <s v="719064-B21 #AKM"/>
    <s v="HP DL380 Gen9 8SFF CTO Server"/>
    <n v="2"/>
    <s v="4HZT42019337"/>
    <d v="2015-01-07T15:39:54"/>
    <d v="2015-01-12T00:00:00"/>
    <d v="2015-01-09T23:50:36"/>
    <d v="2015-01-08T04:06:00"/>
    <d v="2015-01-08T09:52:22"/>
    <d v="2015-01-09T22:01:55"/>
    <n v="41.931944444600958"/>
    <n v="56.178333333344199"/>
    <x v="0"/>
    <n v="12.434999999881256"/>
    <n v="1.811388888861984"/>
    <x v="0"/>
    <m/>
    <m/>
    <x v="0"/>
    <x v="0"/>
    <n v="1"/>
    <m/>
  </r>
  <r>
    <s v="TSG_MLDL_PF"/>
    <n v="313898219"/>
    <n v="1115309621"/>
    <s v="719064-B21 #AKM"/>
    <s v="HP DL380 Gen9 8SFF CTO Server"/>
    <n v="13"/>
    <s v="4HZT42019336"/>
    <d v="2015-01-07T15:41:54"/>
    <d v="2015-01-12T00:00:00"/>
    <d v="2015-01-09T15:38:28"/>
    <d v="2015-01-07T22:06:00"/>
    <d v="2015-01-08T09:10:52"/>
    <d v="2015-01-09T14:06:48"/>
    <n v="40.013333333423361"/>
    <n v="47.942777777847368"/>
    <x v="0"/>
    <n v="6.4016666666138917"/>
    <n v="1.5277777778101154"/>
    <x v="0"/>
    <m/>
    <m/>
    <x v="0"/>
    <x v="0"/>
    <n v="1"/>
    <m/>
  </r>
  <r>
    <s v="TSG_OEM_MLDL_PF"/>
    <n v="313889790"/>
    <n v="1115300966"/>
    <s v="J4N29A"/>
    <s v="H3C R590 E5-4620v2 4P FlexServer"/>
    <n v="1"/>
    <s v="4HZT42019326"/>
    <d v="2015-01-07T15:38:46"/>
    <d v="2015-01-12T00:00:00"/>
    <d v="2015-01-09T23:50:36"/>
    <d v="2015-01-09T00:15:00"/>
    <d v="2015-01-09T02:34:14"/>
    <d v="2015-01-09T22:01:36"/>
    <n v="21.776666666788515"/>
    <n v="56.197222222283017"/>
    <x v="0"/>
    <n v="32.603888888843358"/>
    <n v="1.8166666666511446"/>
    <x v="0"/>
    <m/>
    <m/>
    <x v="0"/>
    <x v="0"/>
    <n v="1"/>
    <s v="short 688196-001"/>
  </r>
  <r>
    <s v="TSG_OEM_ENCL_PF"/>
    <n v="313884717"/>
    <n v="1115290042"/>
    <s v="G3P93A"/>
    <s v="H3C UIS8000 Platinum Encl"/>
    <n v="10"/>
    <s v="4HZT42018405"/>
    <d v="2015-01-07T12:51:42"/>
    <d v="2015-01-13T00:00:00"/>
    <d v="2015-01-10T19:32:49"/>
    <d v="2015-01-09T05:47:00"/>
    <d v="2015-01-09T08:45:28"/>
    <d v="2015-01-10T16:48:31"/>
    <n v="35.025277777807787"/>
    <n v="78.68527777766576"/>
    <x v="2"/>
    <n v="40.921666666574311"/>
    <n v="2.7383333332836628"/>
    <x v="4"/>
    <s v="shortage"/>
    <s v="Buyer"/>
    <x v="5"/>
    <x v="5"/>
    <n v="1"/>
    <s v="short 692533-002 692526-002"/>
  </r>
  <r>
    <s v="TSG_OEM_ENCL_PF"/>
    <n v="313844926"/>
    <n v="1115232881"/>
    <s v="G3P93A"/>
    <s v="H3C UIS8000 Platinum Encl"/>
    <n v="10"/>
    <s v="4HZT42018403"/>
    <d v="2015-01-07T12:51:48"/>
    <d v="2015-01-13T00:00:00"/>
    <d v="2015-01-10T19:32:48"/>
    <d v="2015-01-09T05:47:00"/>
    <d v="2015-01-09T08:48:57"/>
    <d v="2015-01-10T16:50:49"/>
    <n v="35.063611111196224"/>
    <n v="78.683333333465271"/>
    <x v="2"/>
    <n v="40.92000000004191"/>
    <n v="2.6997222222271375"/>
    <x v="4"/>
    <s v="shortage"/>
    <s v="Buyer"/>
    <x v="5"/>
    <x v="5"/>
    <n v="1"/>
    <s v="short 692533-002 692526-002"/>
  </r>
  <r>
    <s v="TSG_OEM_MLDL_PF"/>
    <n v="313898834"/>
    <n v="1115308064"/>
    <s v="G0Y36A"/>
    <s v="H3C R390 E5-2680v2 2P 8SFF FlexServer"/>
    <n v="2"/>
    <s v="4HZT42014590"/>
    <d v="2015-01-06T18:49:21"/>
    <d v="2015-01-09T00:00:00"/>
    <d v="2015-01-08T03:05:00"/>
    <d v="2015-01-07T09:17:00"/>
    <d v="2015-01-07T13:42:39"/>
    <d v="2015-01-08T00:25:38"/>
    <n v="15.143888888822403"/>
    <n v="32.26083333324641"/>
    <x v="0"/>
    <n v="14.460833333374467"/>
    <n v="2.6561111110495403"/>
    <x v="0"/>
    <m/>
    <m/>
    <x v="0"/>
    <x v="0"/>
    <n v="1"/>
    <m/>
  </r>
  <r>
    <s v="TSG_OEM_MLDL_PF"/>
    <n v="313869058"/>
    <n v="1115268670"/>
    <s v="G9D60A"/>
    <s v="H3C R690 E7-4820V2 4P FlexServer"/>
    <n v="5"/>
    <s v="4HZT42007733"/>
    <d v="2015-01-05T12:55:48"/>
    <d v="2015-01-09T00:00:00"/>
    <d v="2015-01-07T17:50:57"/>
    <d v="2015-01-06T07:00:00"/>
    <d v="2015-01-06T13:00:48"/>
    <d v="2015-01-07T16:11:26"/>
    <n v="33.190555555571336"/>
    <n v="52.919166666688398"/>
    <x v="0"/>
    <n v="18.069999999948777"/>
    <n v="1.658611111168284"/>
    <x v="0"/>
    <m/>
    <m/>
    <x v="0"/>
    <x v="0"/>
    <n v="1"/>
    <m/>
  </r>
  <r>
    <s v="TSG_OEM_BLD_PF"/>
    <n v="313869058"/>
    <n v="1115268669"/>
    <s v="G8A81A"/>
    <s v="H3C B390 E5-2620v2 2P 554FLB FlexServer"/>
    <n v="15"/>
    <s v="4HZT42007732"/>
    <d v="2015-01-05T12:55:56"/>
    <d v="2015-01-09T00:00:00"/>
    <d v="2015-01-08T03:05:00"/>
    <d v="2015-01-06T08:47:00"/>
    <d v="2015-01-06T13:26:02"/>
    <d v="2015-01-08T00:43:35"/>
    <n v="39.943055555631872"/>
    <n v="62.151111111044884"/>
    <x v="2"/>
    <n v="19.851111111114733"/>
    <n v="2.3569444442982785"/>
    <x v="2"/>
    <s v="Special"/>
    <s v="Others"/>
    <x v="2"/>
    <x v="2"/>
    <n v="1"/>
    <m/>
  </r>
  <r>
    <s v="TSG_OEM_MLDL_PF"/>
    <n v="313869058"/>
    <n v="1115268666"/>
    <s v="F9B04A"/>
    <s v="H3C R390 E5-2650v2 2P 8SFF FlexServer"/>
    <n v="10"/>
    <s v="4HZT42007731"/>
    <d v="2015-01-05T12:54:51"/>
    <d v="2015-01-09T00:00:00"/>
    <d v="2015-01-07T19:09:54"/>
    <d v="2015-01-06T07:00:00"/>
    <d v="2015-01-06T08:51:37"/>
    <d v="2015-01-07T16:56:28"/>
    <n v="33.941111111082137"/>
    <n v="54.250833333295304"/>
    <x v="0"/>
    <n v="18.085833333316259"/>
    <n v="2.2238888888969086"/>
    <x v="0"/>
    <m/>
    <m/>
    <x v="0"/>
    <x v="0"/>
    <n v="1"/>
    <s v="包装箱大小issue"/>
  </r>
  <r>
    <s v="TSG_OEM_MLDL_PF"/>
    <n v="313869058"/>
    <n v="1115268664"/>
    <s v="F9B03A"/>
    <s v="H3C R390 E5-2620v2 2P 8SFF FlexServer"/>
    <n v="20"/>
    <s v="4HZT42007730"/>
    <d v="2015-01-05T12:56:58"/>
    <d v="2015-01-09T00:00:00"/>
    <d v="2015-01-07T17:50:57"/>
    <d v="2015-01-06T07:00:00"/>
    <d v="2015-01-06T10:03:24"/>
    <d v="2015-01-07T15:53:12"/>
    <n v="32.886666666716337"/>
    <n v="52.899722222238779"/>
    <x v="0"/>
    <n v="18.050555555499159"/>
    <n v="1.9625000000232831"/>
    <x v="0"/>
    <m/>
    <m/>
    <x v="0"/>
    <x v="0"/>
    <n v="1"/>
    <s v="包装箱大小issue"/>
  </r>
  <r>
    <s v="TSG_OEM_MLDL_PF"/>
    <n v="313844926"/>
    <n v="1115232880"/>
    <s v="J4N29A"/>
    <s v="H3C R590 E5-4620v2 4P FlexServer"/>
    <n v="5"/>
    <s v="4HZT42007725"/>
    <d v="2015-01-05T12:48:56"/>
    <d v="2015-01-08T00:00:00"/>
    <d v="2015-01-08T00:42:00"/>
    <d v="2015-01-06T07:00:00"/>
    <d v="2015-01-06T08:45:44"/>
    <d v="2015-01-07T21:06:00"/>
    <n v="38.100000000034925"/>
    <n v="59.884444444498513"/>
    <x v="0"/>
    <n v="18.184444444428664"/>
    <n v="3.6000000000349246"/>
    <x v="0"/>
    <m/>
    <m/>
    <x v="0"/>
    <x v="0"/>
    <n v="1"/>
    <m/>
  </r>
  <r>
    <s v="TSG_MLDL_PF"/>
    <n v="313880914"/>
    <n v="1115284103"/>
    <s v="653200-B21 #AKM"/>
    <s v="HP DL380p Gen8 8-SFF CTO Server"/>
    <n v="3"/>
    <s v="4HZT42006997"/>
    <d v="2015-01-05T09:10:43"/>
    <d v="2015-01-07T00:00:00"/>
    <d v="2015-01-07T11:44:54"/>
    <d v="2015-01-06T07:00:00"/>
    <d v="2015-01-06T10:53:27"/>
    <d v="2015-01-07T09:41:25"/>
    <n v="26.69027777784504"/>
    <n v="50.569722222222481"/>
    <x v="0"/>
    <n v="21.82138888881309"/>
    <n v="2.0580555555643514"/>
    <x v="0"/>
    <m/>
    <m/>
    <x v="0"/>
    <x v="0"/>
    <n v="1"/>
    <m/>
  </r>
  <r>
    <s v="TSG_OEM_MLDL_PF"/>
    <n v="313869058"/>
    <n v="1115268671"/>
    <s v="H6Z77A"/>
    <s v="H3C FlexStorage P5730 600GB SAS Storage"/>
    <n v="3"/>
    <s v="4HZT42006154"/>
    <d v="2015-01-05T02:04:46"/>
    <d v="2015-01-09T00:00:00"/>
    <d v="2015-01-07T19:09:54"/>
    <d v="2015-01-06T06:52:00"/>
    <d v="2015-01-06T16:12:12"/>
    <d v="2015-01-07T16:36:50"/>
    <n v="33.747222222271375"/>
    <n v="65.085555555531755"/>
    <x v="2"/>
    <n v="28.787222222308628"/>
    <n v="2.5511111109517515"/>
    <x v="4"/>
    <s v="shortage"/>
    <s v="Buyer"/>
    <x v="5"/>
    <x v="5"/>
    <n v="1"/>
    <s v="short 652566-003"/>
  </r>
  <r>
    <s v="TSG_OEM_MLDL_PF"/>
    <n v="313843799"/>
    <n v="1115233529"/>
    <s v="F9B03A"/>
    <s v="H3C R390 E5-2620v2 2P 8SFF FlexServer"/>
    <n v="40"/>
    <s v="4HZT42006125"/>
    <d v="2015-01-05T02:02:46"/>
    <d v="2015-01-09T00:00:00"/>
    <d v="2015-01-07T17:50:57"/>
    <d v="2015-01-05T21:10:00"/>
    <d v="2015-01-06T01:04:03"/>
    <d v="2015-01-07T15:45:41"/>
    <n v="42.594722222245764"/>
    <n v="63.803055555559695"/>
    <x v="1"/>
    <n v="19.120555555564351"/>
    <n v="2.0877777777495794"/>
    <x v="4"/>
    <s v="Incoming"/>
    <s v="PE"/>
    <x v="8"/>
    <x v="8"/>
    <n v="1"/>
    <s v="包装箱间隙大，留PE白班确认。"/>
  </r>
  <r>
    <s v="TSG_OEM_MLDL_PF"/>
    <n v="313843799"/>
    <n v="1115233528"/>
    <s v="F9B02A"/>
    <s v="H3C R390 E5-2609v2 2P 8SFF FlexServer"/>
    <n v="30"/>
    <s v="4HZT42006124"/>
    <d v="2015-01-05T02:01:38"/>
    <d v="2015-01-09T00:00:00"/>
    <d v="2015-01-06T18:50:44"/>
    <d v="2015-01-05T21:10:00"/>
    <d v="2015-01-05T23:58:58"/>
    <d v="2015-01-06T16:58:27"/>
    <n v="19.807499999937136"/>
    <n v="40.818333333358169"/>
    <x v="0"/>
    <n v="19.13944444450317"/>
    <n v="1.8713888889178634"/>
    <x v="0"/>
    <m/>
    <m/>
    <x v="0"/>
    <x v="0"/>
    <n v="1"/>
    <m/>
  </r>
  <r>
    <s v="TSG_MLDL_PF"/>
    <n v="313884717"/>
    <n v="1115290043"/>
    <s v="B7E26A"/>
    <s v="HP StoreVirtual 4530 600GB SAS Storage"/>
    <n v="1"/>
    <s v="4HZT42002864"/>
    <d v="2015-01-04T01:53:31"/>
    <d v="2015-01-08T00:00:00"/>
    <d v="2015-01-07T01:57:43"/>
    <d v="2015-01-05T10:52:00"/>
    <d v="2015-01-05T16:37:21"/>
    <d v="2015-01-07T00:19:06"/>
    <n v="37.451666666718666"/>
    <n v="72.0700000001234"/>
    <x v="2"/>
    <n v="32.974722222250421"/>
    <n v="1.6436111111543141"/>
    <x v="2"/>
    <s v="Special"/>
    <s v="Others"/>
    <x v="2"/>
    <x v="2"/>
    <n v="1"/>
    <m/>
  </r>
  <r>
    <s v="TSG_BLD_PF"/>
    <n v="313881166"/>
    <n v="1115285205"/>
    <s v="727021-B21"/>
    <s v="HP BL460c Gen9 10Gb/20Gb FLB CTO Blade"/>
    <n v="8"/>
    <s v="4HZT42002798"/>
    <d v="2015-01-04T01:46:21"/>
    <d v="2015-01-08T00:00:00"/>
    <d v="2015-01-08T03:05:00"/>
    <d v="2015-01-06T04:30:00"/>
    <d v="2015-01-06T10:23:39"/>
    <d v="2015-01-08T00:51:38"/>
    <n v="44.360555555555038"/>
    <n v="97.310833333292976"/>
    <x v="1"/>
    <n v="50.727500000037253"/>
    <n v="2.222777777700685"/>
    <x v="2"/>
    <s v="Special"/>
    <s v="Others"/>
    <x v="2"/>
    <x v="2"/>
    <n v="1"/>
    <s v="short 759516-001+刀片无夜班生产"/>
  </r>
  <r>
    <s v="TSG_OEM_BLD_PF"/>
    <n v="313844927"/>
    <n v="1115232882"/>
    <s v="J4N24A"/>
    <s v="H3C B590 E5-4620v2 4P 554FLB FlexServer"/>
    <n v="8"/>
    <s v="4HZT42002743"/>
    <d v="2015-01-04T01:39:31"/>
    <d v="2015-01-08T00:00:00"/>
    <d v="2015-01-08T03:05:00"/>
    <d v="2015-01-05T18:01:00"/>
    <d v="2015-01-06T09:48:04"/>
    <d v="2015-01-08T00:58:51"/>
    <n v="54.964166666613892"/>
    <n v="97.424722222087439"/>
    <x v="1"/>
    <n v="40.35805555555271"/>
    <n v="2.1024999999208376"/>
    <x v="2"/>
    <s v="Special"/>
    <s v="Others"/>
    <x v="2"/>
    <x v="2"/>
    <n v="1"/>
    <s v="刀片无夜班生产"/>
  </r>
  <r>
    <s v="TSG_MLDL_PF"/>
    <n v="313884164"/>
    <n v="1115290862"/>
    <s v="653200-B21 #AKM"/>
    <s v="HP DL380p Gen8 8-SFF CTO Server"/>
    <n v="51"/>
    <s v="4HZT41987117"/>
    <d v="2014-12-31T18:49:36"/>
    <d v="2015-01-07T00:00:00"/>
    <d v="2015-01-07T15:43:54"/>
    <d v="2015-01-05T21:10:00"/>
    <d v="2015-01-05T22:41:53"/>
    <d v="2015-01-07T14:31:52"/>
    <n v="41.364444444479886"/>
    <n v="164.90500000014435"/>
    <x v="2"/>
    <n v="122.34000000008382"/>
    <n v="1.2005555555806495"/>
    <x v="2"/>
    <s v="Special"/>
    <s v="Others"/>
    <x v="2"/>
    <x v="2"/>
    <n v="1"/>
    <s v="维修缺702284-B21@@ 2015-01-06 01:31:12+CIC+元旦休息1号到4号"/>
  </r>
  <r>
    <s v="TSG_OEM_MLDL_PF"/>
    <n v="313847537"/>
    <n v="1115237814"/>
    <s v="G9D62A"/>
    <s v="H3C R690 E7-4850V2 4P FlexServer"/>
    <n v="1"/>
    <s v="4HZT41987095"/>
    <d v="2014-12-31T17:51:35"/>
    <d v="2015-01-07T00:00:00"/>
    <d v="2015-01-06T18:18:39"/>
    <d v="2015-01-05T08:30:00"/>
    <d v="2015-01-05T13:46:27"/>
    <d v="2015-01-06T15:53:07"/>
    <n v="31.385277777852025"/>
    <n v="144.45111111109145"/>
    <x v="2"/>
    <n v="110.64027777768206"/>
    <n v="2.4255555555573665"/>
    <x v="2"/>
    <s v="Special"/>
    <s v="Others"/>
    <x v="2"/>
    <x v="2"/>
    <n v="1"/>
    <m/>
  </r>
  <r>
    <s v="TSG_OEM_MLDL_PF"/>
    <n v="313869056"/>
    <n v="1115268661"/>
    <s v="G9D60A"/>
    <s v="H3C R690 E7-4820V2 4P FlexServer"/>
    <n v="3"/>
    <s v="4HZT41986500"/>
    <d v="2014-12-31T15:32:49"/>
    <d v="2015-01-07T00:00:00"/>
    <d v="2015-01-06T18:18:39"/>
    <d v="2015-01-05T08:30:00"/>
    <d v="2015-01-05T12:31:28"/>
    <d v="2015-01-06T15:41:42"/>
    <n v="31.1950000001234"/>
    <n v="146.76388888887595"/>
    <x v="2"/>
    <n v="112.95305555546656"/>
    <n v="2.6158333332859911"/>
    <x v="2"/>
    <s v="Special"/>
    <s v="Others"/>
    <x v="2"/>
    <x v="2"/>
    <n v="1"/>
    <m/>
  </r>
  <r>
    <s v="TSG_OEM_MLDL_PF"/>
    <n v="313869056"/>
    <n v="1115268660"/>
    <s v="G9D57A"/>
    <s v="H3C R690 E7-4809V2 2P Low FlexServer"/>
    <n v="4"/>
    <s v="4HZT41986499"/>
    <d v="2014-12-31T15:32:46"/>
    <d v="2015-01-07T00:00:00"/>
    <d v="2015-01-07T00:54:40"/>
    <d v="2015-01-05T22:50:00"/>
    <d v="2015-01-06T01:59:20"/>
    <d v="2015-01-06T22:25:52"/>
    <n v="23.597777777700685"/>
    <n v="153.36499999993248"/>
    <x v="2"/>
    <n v="127.28722222225042"/>
    <n v="2.4799999999813735"/>
    <x v="2"/>
    <s v="Special"/>
    <s v="Others"/>
    <x v="2"/>
    <x v="2"/>
    <n v="1"/>
    <m/>
  </r>
  <r>
    <s v="TSG_OEM_MLDL_PF"/>
    <n v="313844831"/>
    <n v="1115233041"/>
    <s v="G9D62A"/>
    <s v="H3C R690 E7-4850V2 4P FlexServer"/>
    <n v="2"/>
    <s v="4HZT41986435"/>
    <d v="2014-12-31T15:32:37"/>
    <d v="2015-01-07T00:00:00"/>
    <d v="2015-01-06T18:50:44"/>
    <d v="2015-01-05T08:30:00"/>
    <d v="2015-01-05T12:40:13"/>
    <d v="2015-01-06T17:49:47"/>
    <n v="33.329722222290002"/>
    <n v="147.30194444447989"/>
    <x v="2"/>
    <n v="112.95638888888061"/>
    <n v="1.0158333333092742"/>
    <x v="2"/>
    <s v="Special"/>
    <s v="Others"/>
    <x v="2"/>
    <x v="2"/>
    <n v="1"/>
    <m/>
  </r>
  <r>
    <s v="TSG_OEM_MLDL_PF"/>
    <n v="313844831"/>
    <n v="1115233040"/>
    <s v="G9D60A"/>
    <s v="H3C R690 E7-4820V2 4P FlexServer"/>
    <n v="1"/>
    <s v="4HZT41986434"/>
    <d v="2014-12-31T15:32:37"/>
    <d v="2015-01-07T00:00:00"/>
    <d v="2015-01-06T14:35:33"/>
    <d v="2015-01-05T08:30:00"/>
    <d v="2015-01-05T12:37:52"/>
    <d v="2015-01-06T12:44:12"/>
    <n v="28.236666666751262"/>
    <n v="143.04888888902497"/>
    <x v="2"/>
    <n v="112.95638888888061"/>
    <n v="1.8558333333930932"/>
    <x v="2"/>
    <s v="Special"/>
    <s v="Others"/>
    <x v="2"/>
    <x v="2"/>
    <n v="1"/>
    <m/>
  </r>
  <r>
    <s v="TSG_OEM_MLDL_PF"/>
    <n v="313815063"/>
    <n v="1115192929"/>
    <s v="G9D61A"/>
    <s v="H3C R690 E7-4830V2 4P FlexServer"/>
    <n v="4"/>
    <s v="4HZT41986433"/>
    <d v="2014-12-31T15:32:37"/>
    <d v="2015-01-07T00:00:00"/>
    <d v="2015-01-06T18:50:44"/>
    <d v="2015-01-05T08:30:00"/>
    <d v="2015-01-05T12:45:00"/>
    <d v="2015-01-06T17:41:27"/>
    <n v="33.190833333414048"/>
    <n v="147.30194444447989"/>
    <x v="2"/>
    <n v="112.95638888888061"/>
    <n v="1.154722222185228"/>
    <x v="2"/>
    <s v="Special"/>
    <s v="Others"/>
    <x v="2"/>
    <x v="2"/>
    <n v="1"/>
    <m/>
  </r>
  <r>
    <s v="TSG_ENCL_PF"/>
    <n v="313881166"/>
    <n v="1115289018"/>
    <s v="681840-B21"/>
    <s v="HP BLc7000 1PH 2PS 4Fan Trl IC Plat Encl"/>
    <n v="1"/>
    <s v="4HZT41981401"/>
    <d v="2014-12-30T18:47:11"/>
    <d v="2015-01-06T00:00:00"/>
    <d v="2015-01-05T08:43:15"/>
    <d v="2014-12-31T08:49:00"/>
    <d v="2014-12-31T10:38:48"/>
    <d v="2014-12-31T17:01:13"/>
    <n v="8.2036111112684011"/>
    <n v="133.93444444454508"/>
    <x v="2"/>
    <n v="14.030277777754236"/>
    <n v="111.70055555552244"/>
    <x v="3"/>
    <s v="PGI"/>
    <s v="WH"/>
    <x v="3"/>
    <x v="3"/>
    <n v="1"/>
    <m/>
  </r>
  <r>
    <s v="TSG_MLDL_PF"/>
    <n v="313881166"/>
    <n v="1115289012"/>
    <s v="775506-B21 #AKM"/>
    <s v="HP DL180 Gen9 12LFF CTO Server"/>
    <n v="1"/>
    <s v="4HZT41980834"/>
    <d v="2014-12-30T17:15:09"/>
    <d v="2015-01-07T00:00:00"/>
    <d v="2015-01-05T14:19:15"/>
    <d v="2014-12-31T12:59:00"/>
    <d v="2014-12-31T16:58:34"/>
    <d v="2015-01-05T12:05:05"/>
    <n v="119.10138888889924"/>
    <n v="141.06833333324175"/>
    <x v="0"/>
    <n v="19.730833333334886"/>
    <n v="2.2361111110076308"/>
    <x v="0"/>
    <m/>
    <m/>
    <x v="0"/>
    <x v="0"/>
    <n v="1"/>
    <s v="元旦休息1号到4号"/>
  </r>
  <r>
    <s v="TSG_MLDL_PF"/>
    <n v="313881166"/>
    <n v="1115285211"/>
    <s v="754523-B21 #AKM"/>
    <s v="HP DL180 Gen9 8SFF CTO Server"/>
    <n v="2"/>
    <s v="4HZT41980833"/>
    <d v="2014-12-30T17:14:10"/>
    <d v="2015-01-07T00:00:00"/>
    <d v="2015-01-05T15:39:26"/>
    <d v="2014-12-31T12:59:00"/>
    <d v="2014-12-31T18:23:20"/>
    <d v="2015-01-05T13:38:52"/>
    <n v="120.66444444435183"/>
    <n v="142.4211111110053"/>
    <x v="0"/>
    <n v="19.747222222213168"/>
    <n v="2.0094444444403052"/>
    <x v="0"/>
    <m/>
    <m/>
    <x v="0"/>
    <x v="0"/>
    <n v="1"/>
    <s v="元旦休息1号到4号"/>
  </r>
  <r>
    <s v="TSG_MLDL_PF"/>
    <n v="313881166"/>
    <n v="1115285209"/>
    <s v="754523-B21 #AKM"/>
    <s v="HP DL180 Gen9 8SFF CTO Server"/>
    <n v="1"/>
    <s v="4HZT41980832"/>
    <d v="2014-12-30T17:14:10"/>
    <d v="2015-01-07T00:00:00"/>
    <d v="2015-01-05T15:39:26"/>
    <d v="2014-12-31T12:59:00"/>
    <d v="2014-12-31T18:30:41"/>
    <d v="2015-01-05T13:48:16"/>
    <n v="120.82111111097038"/>
    <n v="142.4211111110053"/>
    <x v="0"/>
    <n v="19.747222222213168"/>
    <n v="1.8527777778217569"/>
    <x v="0"/>
    <m/>
    <m/>
    <x v="0"/>
    <x v="0"/>
    <n v="1"/>
    <s v="元旦休息1号到4号"/>
  </r>
  <r>
    <s v="TSG_MLDL_PF"/>
    <n v="313863129"/>
    <n v="1115260479"/>
    <s v="654081-B21 #AKM"/>
    <s v="HP DL360p Gen8 8-SFF CTO Server"/>
    <n v="4"/>
    <s v="4HZT41975541"/>
    <d v="2014-12-29T19:41:52"/>
    <d v="2015-01-05T00:00:00"/>
    <d v="2015-01-05T08:43:15"/>
    <d v="2014-12-30T14:30:00"/>
    <d v="2014-12-30T19:43:54"/>
    <d v="2014-12-31T13:39:21"/>
    <n v="23.155833333323244"/>
    <n v="157.02305555564817"/>
    <x v="2"/>
    <n v="18.802222222206183"/>
    <n v="115.06500000011874"/>
    <x v="3"/>
    <s v="PGI"/>
    <s v="WH"/>
    <x v="3"/>
    <x v="3"/>
    <n v="1"/>
    <m/>
  </r>
  <r>
    <s v="TSG_MLDL_PF"/>
    <n v="313863129"/>
    <n v="1115260481"/>
    <s v="654081-B21 #AKM"/>
    <s v="HP DL360p Gen8 8-SFF CTO Server"/>
    <n v="4"/>
    <s v="4HZT41975541"/>
    <d v="2014-12-29T19:41:52"/>
    <d v="2015-01-05T00:00:00"/>
    <d v="2015-01-05T08:43:15"/>
    <d v="2014-12-30T14:30:00"/>
    <d v="2014-12-30T19:37:08"/>
    <d v="2014-12-31T16:49:28"/>
    <n v="26.324444444559049"/>
    <n v="157.02305555564817"/>
    <x v="2"/>
    <n v="18.802222222206183"/>
    <n v="111.89638888888294"/>
    <x v="3"/>
    <s v="PGI"/>
    <s v="WH"/>
    <x v="3"/>
    <x v="3"/>
    <n v="1"/>
    <m/>
  </r>
  <r>
    <s v="TSG_MLDL_PF"/>
    <n v="313863129"/>
    <n v="1115260482"/>
    <s v="653200-B21 #AKM"/>
    <s v="HP DL380p Gen8 8-SFF CTO Server"/>
    <n v="1"/>
    <s v="4HZT41975541"/>
    <d v="2014-12-29T19:41:52"/>
    <d v="2015-01-05T00:00:00"/>
    <d v="2015-01-05T08:43:15"/>
    <d v="2014-12-30T10:35:00"/>
    <d v="2014-12-30T15:49:30"/>
    <d v="2014-12-31T07:33:20"/>
    <n v="20.972222222364508"/>
    <n v="157.02305555564817"/>
    <x v="2"/>
    <n v="14.885555555520114"/>
    <n v="121.16527777776355"/>
    <x v="3"/>
    <s v="PGI"/>
    <s v="WH"/>
    <x v="3"/>
    <x v="3"/>
    <n v="1"/>
    <m/>
  </r>
  <r>
    <s v="TSG_OEM_MLDL_PF"/>
    <n v="313844831"/>
    <n v="1115233039"/>
    <s v="J4N29A"/>
    <s v="H3C R590 E5-4620v2 4P FlexServer"/>
    <n v="5"/>
    <s v="4HZT41974752"/>
    <d v="2014-12-29T18:27:52"/>
    <d v="2015-01-05T00:00:00"/>
    <d v="2015-01-05T08:43:13"/>
    <d v="2014-12-30T14:30:00"/>
    <d v="2014-12-30T20:54:14"/>
    <d v="2014-12-31T18:45:10"/>
    <n v="28.252777777786832"/>
    <n v="158.25583333329996"/>
    <x v="2"/>
    <n v="20.035555555543397"/>
    <n v="109.96749999996973"/>
    <x v="3"/>
    <s v="PGI"/>
    <s v="WH"/>
    <x v="3"/>
    <x v="3"/>
    <n v="1"/>
    <m/>
  </r>
  <r>
    <s v="TSG_MLDL_PF"/>
    <n v="313825194"/>
    <n v="1115205508"/>
    <s v="653200-B21 #AKM"/>
    <s v="HP DL380p Gen8 8-SFF CTO Server"/>
    <n v="10"/>
    <s v="4HZT41974742"/>
    <d v="2014-12-29T18:45:50"/>
    <d v="2015-01-06T00:00:00"/>
    <d v="2015-01-05T08:43:15"/>
    <d v="2014-12-30T09:18:00"/>
    <d v="2014-12-30T12:33:48"/>
    <d v="2014-12-31T16:34:03"/>
    <n v="31.267500000132713"/>
    <n v="157.95694444456603"/>
    <x v="2"/>
    <n v="14.536111111112405"/>
    <n v="112.15333333332092"/>
    <x v="3"/>
    <s v="PGI"/>
    <s v="WH"/>
    <x v="3"/>
    <x v="3"/>
    <n v="1"/>
    <m/>
  </r>
  <r>
    <s v="TSG_OEM_ENCL_PF"/>
    <n v="313844831"/>
    <n v="1115287732"/>
    <s v="G3P93A"/>
    <s v="H3C UIS8000 Platinum Encl"/>
    <n v="10"/>
    <s v="4HZT41972781"/>
    <d v="2015-01-07T12:51:42"/>
    <d v="2015-01-13T00:00:00"/>
    <d v="2015-01-10T19:32:48"/>
    <d v="2015-01-09T05:47:00"/>
    <d v="2015-01-09T08:41:44"/>
    <d v="2015-01-10T16:51:22"/>
    <n v="35.07277777773561"/>
    <n v="78.684999999997672"/>
    <x v="2"/>
    <n v="40.921666666574311"/>
    <n v="2.6905555556877516"/>
    <x v="4"/>
    <s v="shortage"/>
    <s v="Buyer"/>
    <x v="5"/>
    <x v="5"/>
    <n v="1"/>
    <s v="short 692533-002 692526-002"/>
  </r>
  <r>
    <s v="TSG_OEM_MLDL_PF"/>
    <n v="313808172"/>
    <n v="1115222323"/>
    <s v="G9D58A"/>
    <s v="H3C R690 E7-4820V2 2P Low FlexServer"/>
    <n v="2"/>
    <s v="4HZT41876873"/>
    <d v="2014-12-31T14:24:31"/>
    <d v="2015-01-07T00:00:00"/>
    <d v="2015-01-06T15:22:34"/>
    <d v="2015-01-01T02:04:00"/>
    <d v="2015-01-01T05:49:06"/>
    <d v="2015-01-06T13:08:49"/>
    <n v="131.08027777791722"/>
    <n v="144.96750000002794"/>
    <x v="0"/>
    <n v="11.658055555424653"/>
    <n v="2.2291666666860692"/>
    <x v="0"/>
    <m/>
    <m/>
    <x v="0"/>
    <x v="0"/>
    <n v="1"/>
    <s v="元旦休息1号到4号"/>
  </r>
  <r>
    <s v="TSG_MLDL_PF"/>
    <n v="313883863"/>
    <n v="1115291819"/>
    <s v="704963-B21 #AKM"/>
    <s v="HP DL585 G7 BC NIC CTO Server"/>
    <n v="4"/>
    <s v="4HRT42014032"/>
    <d v="2015-01-06T17:30:19"/>
    <d v="2015-01-09T00:00:00"/>
    <d v="2015-01-08T18:17:23"/>
    <d v="2015-01-07T09:17:00"/>
    <d v="2015-01-07T12:12:36"/>
    <d v="2015-01-08T16:10:31"/>
    <n v="30.89194444444729"/>
    <n v="48.784444444463588"/>
    <x v="0"/>
    <n v="15.778055555652827"/>
    <n v="2.1144444443634711"/>
    <x v="0"/>
    <m/>
    <m/>
    <x v="0"/>
    <x v="0"/>
    <n v="1"/>
    <m/>
  </r>
  <r>
    <s v="TSG_MLDL_PF"/>
    <n v="313866790"/>
    <n v="1115268030"/>
    <s v="728551-B21 #AKM"/>
    <s v="HP DL580 Gen8 CTO Svr"/>
    <n v="1"/>
    <s v="4HRT41977154"/>
    <d v="2014-12-30T02:00:57"/>
    <d v="2015-01-07T00:00:00"/>
    <d v="2015-01-06T14:03:33"/>
    <d v="2014-12-31T20:47:00"/>
    <d v="2015-01-01T00:18:18"/>
    <d v="2015-01-06T11:53:46"/>
    <n v="135.11277777777286"/>
    <n v="180.04333333333489"/>
    <x v="2"/>
    <n v="42.767500000074506"/>
    <n v="2.1630555554875173"/>
    <x v="4"/>
    <s v="shortage"/>
    <s v="Buyer"/>
    <x v="5"/>
    <x v="5"/>
    <n v="1"/>
    <s v="short 729446-001 652564-b21@@ 732411-b21@@+元旦休息1号到4号"/>
  </r>
  <r>
    <s v="TSG_MLDL_PF"/>
    <n v="313893850"/>
    <n v="1115303125"/>
    <s v="768729-371"/>
    <s v="HP ML310eGen8v2 E3-1241v3 Perf AP Svr"/>
    <n v="1"/>
    <s v="4HOT42023657"/>
    <d v="2015-01-08T11:58:14"/>
    <d v="2015-01-13T00:00:00"/>
    <d v="2015-01-09T14:02:39"/>
    <d v="2015-01-08T20:45:00"/>
    <d v="2015-01-08T22:14:35"/>
    <d v="2015-01-09T12:35:18"/>
    <n v="15.838333333202172"/>
    <n v="26.073611111263745"/>
    <x v="0"/>
    <n v="8.779444444575347"/>
    <n v="1.4558333334862255"/>
    <x v="0"/>
    <m/>
    <m/>
    <x v="0"/>
    <x v="0"/>
    <n v="1"/>
    <m/>
  </r>
  <r>
    <s v="TSG_MLDL_PF"/>
    <n v="313862411"/>
    <n v="1115257468"/>
    <s v="744680-B21 #UUF"/>
    <s v="HP DL360p Gen8 Low Cost CTO Svr"/>
    <n v="10"/>
    <s v="4HOT41976839"/>
    <d v="2014-12-30T00:35:58"/>
    <d v="2015-01-07T00:00:00"/>
    <d v="2015-01-05T17:31:18"/>
    <d v="2014-12-31T09:35:00"/>
    <d v="2014-12-31T14:46:04"/>
    <d v="2015-01-05T15:13:22"/>
    <n v="125.63944444450317"/>
    <n v="160.92222222208511"/>
    <x v="0"/>
    <n v="32.983888888789807"/>
    <n v="2.2988888887921348"/>
    <x v="0"/>
    <m/>
    <m/>
    <x v="0"/>
    <x v="0"/>
    <n v="1"/>
    <s v="short 728714-001+CIC+元旦休息1号到4号"/>
  </r>
  <r>
    <s v="TSG_MLDL_PF"/>
    <n v="313856100"/>
    <n v="1115270297"/>
    <s v="744680-B21 #UUF"/>
    <s v="HP DL360p Gen8 Low Cost CTO Svr"/>
    <n v="8"/>
    <s v="4HOT41941334"/>
    <d v="2014-12-30T17:15:10"/>
    <d v="2015-01-06T00:00:00"/>
    <d v="2015-01-05T16:27:18"/>
    <d v="2014-12-31T12:59:00"/>
    <d v="2014-12-31T15:56:14"/>
    <d v="2015-01-05T14:48:14"/>
    <n v="121.82055555557599"/>
    <n v="143.20222222222947"/>
    <x v="0"/>
    <n v="19.730555555666797"/>
    <n v="1.6511111109866761"/>
    <x v="0"/>
    <m/>
    <m/>
    <x v="0"/>
    <x v="0"/>
    <n v="1"/>
    <s v="cic+元旦休息1号到4号"/>
  </r>
  <r>
    <s v="TSG_MLDL_PF"/>
    <n v="313833144"/>
    <n v="1115215365"/>
    <s v="669253-B21 #AKM"/>
    <s v="HP DL380e Gen8 8SFF CTO Server"/>
    <n v="12"/>
    <s v="4HFT42019806"/>
    <d v="2015-01-07T17:09:46"/>
    <d v="2015-01-12T00:00:00"/>
    <d v="2015-01-09T15:06:35"/>
    <d v="2015-01-08T10:15:00"/>
    <d v="2015-01-08T12:24:25"/>
    <d v="2015-01-09T04:31:00"/>
    <n v="18.266666666662786"/>
    <n v="45.946944444382098"/>
    <x v="0"/>
    <n v="17.087222222238779"/>
    <n v="10.593055555480532"/>
    <x v="0"/>
    <m/>
    <m/>
    <x v="0"/>
    <x v="0"/>
    <n v="1"/>
    <m/>
  </r>
  <r>
    <s v="TSG_MLDL_PF"/>
    <n v="313833144"/>
    <n v="1115215368"/>
    <s v="669253-B21 #AKM"/>
    <s v="HP DL380e Gen8 8SFF CTO Server"/>
    <n v="4"/>
    <s v="4HFT42019806"/>
    <d v="2015-01-07T17:08:46"/>
    <d v="2015-01-12T00:00:00"/>
    <d v="2015-01-09T15:06:35"/>
    <d v="2015-01-08T10:15:00"/>
    <d v="2015-01-08T13:40:25"/>
    <d v="2015-01-09T10:52:50"/>
    <n v="24.630555555573665"/>
    <n v="45.963611111103091"/>
    <x v="0"/>
    <n v="17.103888888959773"/>
    <n v="4.2291666665696539"/>
    <x v="0"/>
    <m/>
    <m/>
    <x v="0"/>
    <x v="0"/>
    <n v="1"/>
    <m/>
  </r>
  <r>
    <s v="TSG_MLDL_PF"/>
    <n v="313833144"/>
    <n v="1115215374"/>
    <s v="703586-B21 #AKM"/>
    <s v="HP DL580R07 CN CTO Server"/>
    <n v="4"/>
    <s v="4HFT42019806"/>
    <d v="2015-01-07T17:08:52"/>
    <d v="2015-01-12T00:00:00"/>
    <d v="2015-01-09T15:06:35"/>
    <d v="2015-01-08T10:15:00"/>
    <d v="2015-01-08T14:00:45"/>
    <d v="2015-01-09T12:40:35"/>
    <n v="26.426388888910878"/>
    <n v="45.961944444396067"/>
    <x v="0"/>
    <n v="17.102222222252749"/>
    <n v="2.4333333332324401"/>
    <x v="0"/>
    <m/>
    <m/>
    <x v="0"/>
    <x v="0"/>
    <n v="1"/>
    <m/>
  </r>
  <r>
    <s v="TSG_MLDL_PF"/>
    <n v="313833144"/>
    <n v="1115215376"/>
    <s v="703586-B21 #AKM"/>
    <s v="HP DL580R07 CN CTO Server"/>
    <n v="2"/>
    <s v="4HFT42019806"/>
    <d v="2015-01-07T17:08:46"/>
    <d v="2015-01-12T00:00:00"/>
    <d v="2015-01-09T15:06:35"/>
    <d v="2015-01-08T10:15:00"/>
    <d v="2015-01-08T13:35:54"/>
    <d v="2015-01-09T13:52:39"/>
    <n v="27.627500000002328"/>
    <n v="45.963611111103091"/>
    <x v="0"/>
    <n v="17.103888888959773"/>
    <n v="1.2322222221409902"/>
    <x v="0"/>
    <m/>
    <m/>
    <x v="0"/>
    <x v="0"/>
    <n v="1"/>
    <m/>
  </r>
  <r>
    <s v="TSG_MLDL_PF"/>
    <n v="313885858"/>
    <n v="1115291402"/>
    <s v="740800-AA1"/>
    <s v="HP DL560 Gen8 E5-4603v2 1P CN Svr"/>
    <n v="5"/>
    <s v="4GZT42020412"/>
    <d v="2015-01-07T19:43:51"/>
    <d v="2015-01-12T00:00:00"/>
    <d v="2015-01-09T19:21:33"/>
    <d v="2015-01-09T00:15:00"/>
    <d v="2015-01-09T02:35:23"/>
    <d v="2015-01-09T17:26:05"/>
    <n v="17.184722222329583"/>
    <n v="47.628333333414048"/>
    <x v="0"/>
    <n v="28.519166666606907"/>
    <n v="1.9244444444775581"/>
    <x v="0"/>
    <m/>
    <m/>
    <x v="0"/>
    <x v="0"/>
    <n v="1"/>
    <s v="short 688196-001"/>
  </r>
  <r>
    <s v="TSG_MLDL_PF"/>
    <n v="313889792"/>
    <n v="1115300969"/>
    <s v="719064-B21 #AKM"/>
    <s v="HP DL380 Gen9 8SFF CTO Server"/>
    <n v="3"/>
    <s v="4GZT42019327"/>
    <d v="2015-01-07T15:39:55"/>
    <d v="2015-01-12T00:00:00"/>
    <d v="2015-01-09T12:11:26"/>
    <d v="2015-01-07T22:06:00"/>
    <d v="2015-01-08T09:43:08"/>
    <d v="2015-01-09T10:20:25"/>
    <n v="36.240277777891606"/>
    <n v="44.525277777865995"/>
    <x v="0"/>
    <n v="6.4347222222131677"/>
    <n v="1.8502777777612209"/>
    <x v="0"/>
    <m/>
    <m/>
    <x v="0"/>
    <x v="0"/>
    <n v="1"/>
    <m/>
  </r>
  <r>
    <s v="TSG_MLDL_PF"/>
    <n v="313887558"/>
    <n v="1115300531"/>
    <s v="719064-B21 #AKM"/>
    <s v="HP DL380 Gen9 8SFF CTO Server"/>
    <n v="2"/>
    <s v="4GZT42014052"/>
    <d v="2015-01-06T17:32:29"/>
    <d v="2015-01-09T00:00:00"/>
    <d v="2015-01-08T17:29:15"/>
    <d v="2015-01-07T09:17:00"/>
    <d v="2015-01-07T13:15:52"/>
    <d v="2015-01-08T15:29:07"/>
    <n v="30.201944444328547"/>
    <n v="47.946111111086793"/>
    <x v="0"/>
    <n v="15.741944444482215"/>
    <n v="2.002222222276032"/>
    <x v="0"/>
    <m/>
    <m/>
    <x v="0"/>
    <x v="0"/>
    <n v="1"/>
    <m/>
  </r>
  <r>
    <s v="TSG_MLDL_PF"/>
    <n v="313880012"/>
    <n v="1115282262"/>
    <s v="704963-B21 #AKM"/>
    <s v="HP DL585 G7 BC NIC CTO Server"/>
    <n v="10"/>
    <s v="4GZT41981389"/>
    <d v="2014-12-30T18:49:10"/>
    <d v="2015-01-07T00:00:00"/>
    <d v="2015-01-06T07:45:28"/>
    <d v="2014-12-31T12:59:00"/>
    <d v="2014-12-31T16:14:57"/>
    <d v="2015-01-06T06:13:45"/>
    <n v="137.24583333323244"/>
    <n v="156.93833333335351"/>
    <x v="0"/>
    <n v="18.163888888957445"/>
    <n v="1.5286111111636274"/>
    <x v="0"/>
    <m/>
    <m/>
    <x v="0"/>
    <x v="0"/>
    <n v="1"/>
    <s v="元旦休息1号到4号"/>
  </r>
  <r>
    <s v="TSG_MLDL_PF"/>
    <n v="313876104"/>
    <n v="1115277240"/>
    <s v="726044-AA5"/>
    <s v="HP DL320eGen8v2 E3-1220v3 CN Svr/Promo"/>
    <n v="5"/>
    <s v="4GZT41981388"/>
    <d v="2014-12-30T18:48:11"/>
    <d v="2015-01-06T00:00:00"/>
    <d v="2015-01-05T18:18:19"/>
    <d v="2014-12-31T12:59:00"/>
    <d v="2014-12-31T15:05:10"/>
    <d v="2015-01-05T16:08:40"/>
    <n v="123.1611111110542"/>
    <n v="143.50222222215962"/>
    <x v="0"/>
    <n v="18.180277777835727"/>
    <n v="2.160833333269693"/>
    <x v="0"/>
    <m/>
    <m/>
    <x v="0"/>
    <x v="0"/>
    <n v="1"/>
    <s v="元旦休息1号到4号"/>
  </r>
  <r>
    <s v="TSG_MLDL_PF"/>
    <n v="313880030"/>
    <n v="1115282278"/>
    <s v="654081-B21 #AKM"/>
    <s v="HP DL360p Gen8 8-SFF CTO Server"/>
    <n v="1"/>
    <s v="4GZT41979042"/>
    <d v="2014-12-30T11:08:03"/>
    <d v="2015-01-05T00:00:00"/>
    <d v="2015-01-05T08:43:12"/>
    <d v="2014-12-31T09:35:00"/>
    <d v="2014-12-31T13:01:16"/>
    <d v="2015-01-01T01:50:42"/>
    <n v="16.26166666665813"/>
    <n v="141.58583333337447"/>
    <x v="2"/>
    <n v="22.44916666665813"/>
    <n v="102.87500000005821"/>
    <x v="3"/>
    <s v="PGI"/>
    <s v="WH"/>
    <x v="3"/>
    <x v="3"/>
    <n v="1"/>
    <m/>
  </r>
  <r>
    <s v="TSG_MLDL_PF"/>
    <n v="313882154"/>
    <n v="1115291148"/>
    <s v="686792-B21 #AKM"/>
    <s v="HP DL560 Gen8 CTO Server"/>
    <n v="1"/>
    <s v="4GZT41977212"/>
    <d v="2015-01-07T12:52:41"/>
    <d v="2015-01-13T00:00:00"/>
    <d v="2015-01-09T15:06:33"/>
    <d v="2015-01-07T22:06:00"/>
    <d v="2015-01-08T08:38:20"/>
    <d v="2015-01-09T13:31:20"/>
    <n v="39.422222222259734"/>
    <n v="50.231111111061182"/>
    <x v="0"/>
    <n v="9.2219444442889653"/>
    <n v="1.5869444445124827"/>
    <x v="0"/>
    <m/>
    <m/>
    <x v="0"/>
    <x v="0"/>
    <n v="1"/>
    <s v="short 688296-001/维修缺688196-001 2015-01-08 10:57:49"/>
  </r>
  <r>
    <s v="TSG_MLDL_PF"/>
    <n v="313882154"/>
    <n v="1115291150"/>
    <s v="719064-B21 #AKM"/>
    <s v="HP DL380 Gen9 8SFF CTO Server"/>
    <n v="1"/>
    <s v="4GZT41977212"/>
    <d v="2015-01-07T12:52:40"/>
    <d v="2015-01-13T00:00:00"/>
    <d v="2015-01-09T15:06:34"/>
    <d v="2015-01-07T21:30:00"/>
    <d v="2015-01-07T21:28:58"/>
    <d v="2015-01-08T22:22:51"/>
    <n v="24.880833333358169"/>
    <n v="50.231666666571982"/>
    <x v="0"/>
    <n v="8.6222222222713754"/>
    <n v="16.728611110942438"/>
    <x v="0"/>
    <m/>
    <m/>
    <x v="0"/>
    <x v="0"/>
    <n v="1"/>
    <m/>
  </r>
  <r>
    <s v="TSG_MLDL_PF"/>
    <n v="313875144"/>
    <n v="1115276996"/>
    <s v="769503-AA1"/>
    <s v="HP DL160 Gen9 E5-2603v3 LFF Ety CN Svr"/>
    <n v="5"/>
    <s v="4GZT41975563"/>
    <d v="2014-12-29T19:44:54"/>
    <d v="2015-01-05T00:00:00"/>
    <d v="2015-01-05T08:43:14"/>
    <d v="2014-12-30T14:30:00"/>
    <d v="2014-12-30T19:18:22"/>
    <d v="2014-12-31T20:01:58"/>
    <n v="29.53277777787298"/>
    <n v="156.97222222213168"/>
    <x v="2"/>
    <n v="18.751666666532401"/>
    <n v="108.6877777777263"/>
    <x v="3"/>
    <s v="PGI"/>
    <s v="WH"/>
    <x v="3"/>
    <x v="3"/>
    <n v="1"/>
    <m/>
  </r>
  <r>
    <s v="TSG_BLD_PF"/>
    <n v="313883894"/>
    <n v="1115294149"/>
    <s v="518878-B21"/>
    <s v="HP BL685c G7 CTO Blade"/>
    <n v="14"/>
    <s v="4GYT42018673"/>
    <d v="2015-01-07T14:01:42"/>
    <d v="2015-01-12T00:00:00"/>
    <d v="2015-01-10T08:59:44"/>
    <d v="2015-01-08T09:00:00"/>
    <d v="2015-01-08T14:55:00"/>
    <d v="2015-01-10T05:48:59"/>
    <n v="44.816388888924848"/>
    <n v="66.967222222185228"/>
    <x v="1"/>
    <n v="18.971666666620877"/>
    <n v="3.1791666666395031"/>
    <x v="2"/>
    <s v="Special"/>
    <s v="Others"/>
    <x v="2"/>
    <x v="2"/>
    <n v="1"/>
    <s v="刀片无夜班生产"/>
  </r>
  <r>
    <s v="TSG_ENCL_PF"/>
    <n v="313883894"/>
    <n v="1115294156"/>
    <s v="681840-B21"/>
    <s v="HP BLc7000 1PH 2PS 4Fan Trl IC Plat Encl"/>
    <n v="2"/>
    <s v="4GYT42018673"/>
    <d v="2015-01-07T13:58:43"/>
    <d v="2015-01-12T00:00:00"/>
    <d v="2015-01-10T08:59:44"/>
    <d v="2015-01-08T09:00:00"/>
    <d v="2015-01-08T12:52:36"/>
    <d v="2015-01-09T07:01:59"/>
    <n v="22.033055555541068"/>
    <n v="67.016944444505498"/>
    <x v="2"/>
    <n v="19.021388888941146"/>
    <n v="25.962500000023283"/>
    <x v="3"/>
    <s v="PGI"/>
    <s v="WH"/>
    <x v="3"/>
    <x v="3"/>
    <n v="1"/>
    <m/>
  </r>
  <r>
    <s v="TSG_MLDL_PF"/>
    <n v="313872276"/>
    <n v="1115273547"/>
    <s v="653200-B21 #AKM"/>
    <s v="HP DL380p Gen8 8-SFF CTO Server"/>
    <n v="2"/>
    <s v="4G3T41984629"/>
    <d v="2014-12-31T09:31:31"/>
    <d v="2015-01-07T00:00:00"/>
    <d v="2015-01-05T20:25:21"/>
    <d v="2014-12-31T16:23:00"/>
    <d v="2014-12-31T20:38:14"/>
    <d v="2015-01-05T13:15:41"/>
    <n v="116.87805555551313"/>
    <n v="130.89722222217824"/>
    <x v="0"/>
    <n v="6.8580555554945022"/>
    <n v="7.1611111111706123"/>
    <x v="0"/>
    <m/>
    <m/>
    <x v="0"/>
    <x v="0"/>
    <n v="1"/>
    <s v="元旦休息1号到4号"/>
  </r>
  <r>
    <s v="TSG_MLDL_PF"/>
    <n v="313876075"/>
    <n v="1115279362"/>
    <s v="728551-B21 #AKM"/>
    <s v="HP DL580 Gen8 CTO Svr"/>
    <n v="2"/>
    <s v="4G3T41977189"/>
    <d v="2014-12-30T02:02:57"/>
    <d v="2015-01-07T00:00:00"/>
    <d v="2015-01-06T09:15:30"/>
    <d v="2014-12-31T20:47:00"/>
    <d v="2015-01-01T00:28:54"/>
    <d v="2015-01-06T06:47:49"/>
    <n v="130.01361111109145"/>
    <n v="175.20916666660924"/>
    <x v="0"/>
    <n v="42.734166666632518"/>
    <n v="2.4613888888852671"/>
    <x v="0"/>
    <m/>
    <m/>
    <x v="0"/>
    <x v="0"/>
    <n v="1"/>
    <s v="short 732411-b21@@+元旦休息1号到4号"/>
  </r>
  <r>
    <s v="TSG_MLDL_PF"/>
    <n v="313897083"/>
    <n v="1115308437"/>
    <s v="744680-B21 #AKM"/>
    <s v="HP DL360p Gen8 Low Cost CTO Svr"/>
    <n v="50"/>
    <s v="4FST42019333"/>
    <d v="2015-01-07T15:47:48"/>
    <d v="2015-01-12T00:00:00"/>
    <d v="2015-01-09T15:06:34"/>
    <d v="2015-01-07T22:06:00"/>
    <d v="2015-01-08T00:52:26"/>
    <d v="2015-01-09T13:24:43"/>
    <n v="39.311944444547407"/>
    <n v="47.312777777609881"/>
    <x v="0"/>
    <n v="6.3033333331695758"/>
    <n v="1.6974999998928979"/>
    <x v="0"/>
    <m/>
    <m/>
    <x v="0"/>
    <x v="0"/>
    <n v="1"/>
    <s v="CIC"/>
  </r>
  <r>
    <s v="TSG_MLDL_PF"/>
    <n v="313856578"/>
    <n v="1115252374"/>
    <s v="669253-B21 #AKM"/>
    <s v="HP DL380e Gen8 8SFF CTO Server"/>
    <n v="12"/>
    <s v="4DLT42008839"/>
    <d v="2015-01-05T17:01:03"/>
    <d v="2015-01-08T00:00:00"/>
    <d v="2015-01-07T10:56:58"/>
    <d v="2015-01-06T10:11:00"/>
    <d v="2015-01-06T12:36:37"/>
    <d v="2015-01-07T09:34:10"/>
    <n v="23.386111111147329"/>
    <n v="41.931944444426335"/>
    <x v="0"/>
    <n v="17.165833333390765"/>
    <n v="1.3799999998882413"/>
    <x v="0"/>
    <m/>
    <m/>
    <x v="0"/>
    <x v="0"/>
    <n v="1"/>
    <m/>
  </r>
  <r>
    <s v="TSG_MLDL_PF"/>
    <n v="313852793"/>
    <n v="1115247517"/>
    <s v="653200-B21 #AKM"/>
    <s v="HP DL380p Gen8 8-SFF CTO Server"/>
    <n v="4"/>
    <s v="4DLT41978439"/>
    <d v="2014-12-30T09:21:01"/>
    <d v="2015-01-06T00:00:00"/>
    <d v="2015-01-05T12:43:19"/>
    <d v="2014-12-31T06:47:00"/>
    <d v="2014-12-31T10:22:26"/>
    <d v="2015-01-01T02:36:17"/>
    <n v="19.821388888929505"/>
    <n v="147.37166666676058"/>
    <x v="2"/>
    <n v="21.433055555506144"/>
    <n v="106.11722222232493"/>
    <x v="3"/>
    <s v="PGI"/>
    <s v="WH"/>
    <x v="3"/>
    <x v="3"/>
    <n v="1"/>
    <m/>
  </r>
  <r>
    <s v="TSG_MLDL_PF"/>
    <n v="313884530"/>
    <n v="1115289283"/>
    <s v="653200-B21 #AKM"/>
    <s v="HP DL380p Gen8 8-SFF CTO Server"/>
    <n v="1"/>
    <s v="4DGT42012523"/>
    <d v="2015-01-06T11:56:20"/>
    <d v="2015-01-09T00:00:00"/>
    <d v="2015-01-07T15:43:54"/>
    <d v="2015-01-06T21:30:00"/>
    <d v="2015-01-07T01:44:59"/>
    <d v="2015-01-07T14:34:23"/>
    <n v="17.073055555578321"/>
    <n v="27.792777777824085"/>
    <x v="0"/>
    <n v="9.5611111111356877"/>
    <n v="1.1586111111100763"/>
    <x v="0"/>
    <m/>
    <m/>
    <x v="0"/>
    <x v="0"/>
    <n v="1"/>
    <s v="cic"/>
  </r>
  <r>
    <s v="TSG_MLDL_PF"/>
    <n v="313883866"/>
    <n v="1115291832"/>
    <s v="669257-B21 #AKM"/>
    <s v="HP DL380e Gen8 12LFF CTO Server"/>
    <n v="12"/>
    <s v="4DGT42002844"/>
    <d v="2015-01-04T01:54:29"/>
    <d v="2015-01-08T00:00:00"/>
    <d v="2015-01-07T10:56:58"/>
    <d v="2015-01-05T10:52:00"/>
    <d v="2015-01-05T20:39:30"/>
    <d v="2015-01-07T09:28:40"/>
    <n v="46.611111111065838"/>
    <n v="81.04138888878515"/>
    <x v="1"/>
    <n v="32.958611111040227"/>
    <n v="1.4716666666790843"/>
    <x v="1"/>
    <s v="operator"/>
    <s v="Line"/>
    <x v="10"/>
    <x v="10"/>
    <n v="1"/>
    <s v="物料上线到装配时间超过7小时（受SL4500需要拆3000个硬盘影响）"/>
  </r>
  <r>
    <s v="TSG_MLDL_PF"/>
    <n v="313884103"/>
    <n v="1115288230"/>
    <s v="669257-B21 #AKM"/>
    <s v="HP DL380e Gen8 12LFF CTO Server"/>
    <n v="12"/>
    <s v="4DGT41986515"/>
    <d v="2014-12-31T15:38:36"/>
    <d v="2015-01-07T00:00:00"/>
    <d v="2015-01-06T14:35:33"/>
    <d v="2015-01-05T08:30:00"/>
    <d v="2015-01-05T13:05:24"/>
    <d v="2015-01-06T13:02:15"/>
    <n v="28.537500000034925"/>
    <n v="142.94916666671634"/>
    <x v="2"/>
    <n v="112.85666666657198"/>
    <n v="1.5550000001094304"/>
    <x v="2"/>
    <s v="Special"/>
    <s v="Others"/>
    <x v="2"/>
    <x v="2"/>
    <n v="1"/>
    <m/>
  </r>
  <r>
    <s v="TSG_MLDL_PF"/>
    <n v="313883866"/>
    <n v="1115291831"/>
    <s v="669257-B21 #AKM"/>
    <s v="HP DL380e Gen8 12LFF CTO Server"/>
    <n v="12"/>
    <s v="4DGT41986513"/>
    <d v="2014-12-31T15:38:34"/>
    <d v="2015-01-07T00:00:00"/>
    <d v="2015-01-06T18:02:35"/>
    <d v="2015-01-05T08:30:00"/>
    <d v="2015-01-05T14:33:36"/>
    <d v="2015-01-06T13:25:50"/>
    <n v="28.930555555620231"/>
    <n v="146.40027777763316"/>
    <x v="2"/>
    <n v="112.85722222208278"/>
    <n v="4.6124999999301508"/>
    <x v="3"/>
    <s v="PGI"/>
    <s v="WH"/>
    <x v="3"/>
    <x v="3"/>
    <n v="1"/>
    <m/>
  </r>
  <r>
    <s v="TSG_MLDL_PF"/>
    <n v="313883866"/>
    <n v="1115291830"/>
    <s v="669257-B21 #AKM"/>
    <s v="HP DL380e Gen8 12LFF CTO Server"/>
    <n v="12"/>
    <s v="4DGT41986512"/>
    <d v="2014-12-31T15:39:36"/>
    <d v="2015-01-07T00:00:00"/>
    <d v="2015-01-06T14:35:33"/>
    <d v="2015-01-05T08:30:00"/>
    <d v="2015-01-05T11:53:19"/>
    <d v="2015-01-06T13:08:01"/>
    <n v="28.633611111086793"/>
    <n v="142.93250000016997"/>
    <x v="2"/>
    <n v="112.84000000002561"/>
    <n v="1.4588888890575618"/>
    <x v="2"/>
    <s v="Special"/>
    <s v="Others"/>
    <x v="2"/>
    <x v="2"/>
    <n v="1"/>
    <m/>
  </r>
  <r>
    <s v="TSG_MLDL_PF"/>
    <n v="313880347"/>
    <n v="1115284838"/>
    <s v="719061-B21 #AKM"/>
    <s v="HP DL380 Gen9 12LFF CTO Server"/>
    <n v="1"/>
    <s v="4DGT41975581"/>
    <d v="2014-12-29T19:45:52"/>
    <d v="2015-01-05T00:00:00"/>
    <d v="2015-01-05T08:43:14"/>
    <d v="2014-12-30T14:30:00"/>
    <d v="2014-12-30T21:26:28"/>
    <d v="2014-12-31T20:06:33"/>
    <n v="29.609166666807141"/>
    <n v="156.95611111109611"/>
    <x v="2"/>
    <n v="18.73555555549683"/>
    <n v="108.61138888879213"/>
    <x v="3"/>
    <s v="PGI"/>
    <s v="WH"/>
    <x v="3"/>
    <x v="3"/>
    <n v="1"/>
    <m/>
  </r>
  <r>
    <s v="TSG_MLDL_PF"/>
    <n v="313833709"/>
    <n v="1115215701"/>
    <s v="653200-B21 #AKM"/>
    <s v="HP DL380p Gen8 8-SFF CTO Server"/>
    <n v="1"/>
    <s v="4DGT41974744"/>
    <d v="2014-12-29T18:27:50"/>
    <d v="2015-01-05T00:00:00"/>
    <d v="2015-01-05T15:39:26"/>
    <d v="2014-12-31T06:47:00"/>
    <d v="2014-12-31T10:49:06"/>
    <d v="2015-01-05T13:51:57"/>
    <n v="127.08250000001863"/>
    <n v="165.19333333329996"/>
    <x v="0"/>
    <n v="36.319444444379769"/>
    <n v="1.7913888889015652"/>
    <x v="0"/>
    <m/>
    <m/>
    <x v="0"/>
    <x v="0"/>
    <n v="1"/>
    <s v="cic+元旦休息1号到4号"/>
  </r>
  <r>
    <s v="TSG_MLDL_PF"/>
    <n v="313881423"/>
    <n v="1115286532"/>
    <s v="653200-B21 #AKM"/>
    <s v="HP DL380p Gen8 8-SFF CTO Server"/>
    <n v="5"/>
    <s v="4CQT42011097"/>
    <d v="2015-01-06T01:07:10"/>
    <d v="2015-01-12T00:00:00"/>
    <d v="2015-01-07T15:43:54"/>
    <d v="2015-01-06T21:30:00"/>
    <d v="2015-01-07T01:27:31"/>
    <d v="2015-01-07T14:36:19"/>
    <n v="17.105277777649462"/>
    <n v="38.612222222378477"/>
    <x v="0"/>
    <n v="20.38055555569008"/>
    <n v="1.1263888890389353"/>
    <x v="0"/>
    <m/>
    <m/>
    <x v="0"/>
    <x v="0"/>
    <n v="1"/>
    <s v="cic"/>
  </r>
  <r>
    <s v="TSG_MLDL_PF"/>
    <n v="313817841"/>
    <n v="1115193265"/>
    <s v="653200-B21 #AKM"/>
    <s v="HP DL380p Gen8 8-SFF CTO Server"/>
    <n v="5"/>
    <s v="4CQT41976837"/>
    <d v="2014-12-30T00:34:55"/>
    <d v="2015-01-07T00:00:00"/>
    <d v="2015-01-06T16:42:38"/>
    <d v="2014-12-31T06:47:00"/>
    <d v="2014-12-31T11:53:00"/>
    <d v="2015-01-05T14:27:58"/>
    <n v="127.68277777789626"/>
    <n v="184.12861111108214"/>
    <x v="2"/>
    <n v="30.201388888817746"/>
    <n v="26.244444444368128"/>
    <x v="3"/>
    <s v="PGI"/>
    <s v="WH"/>
    <x v="3"/>
    <x v="3"/>
    <n v="1"/>
    <s v="cic+元旦休息1号到4号"/>
  </r>
  <r>
    <s v="TSG_MLDL_PF"/>
    <n v="313885382"/>
    <n v="1115290786"/>
    <s v="686792-B21 #AKM"/>
    <s v="HP DL560 Gen8 CTO Server"/>
    <n v="2"/>
    <s v="4CDT42014038"/>
    <d v="2015-01-06T17:29:27"/>
    <d v="2015-01-09T00:00:00"/>
    <d v="2015-01-08T16:42:14"/>
    <d v="2015-01-07T09:17:00"/>
    <d v="2015-01-07T15:42:41"/>
    <d v="2015-01-08T15:14:06"/>
    <n v="29.951666666544043"/>
    <n v="47.213055555475876"/>
    <x v="0"/>
    <n v="15.792499999981374"/>
    <n v="1.4688888889504597"/>
    <x v="0"/>
    <m/>
    <m/>
    <x v="0"/>
    <x v="0"/>
    <n v="1"/>
    <m/>
  </r>
  <r>
    <s v="TSG_MLDL_PF"/>
    <n v="313884783"/>
    <n v="1115291041"/>
    <s v="703586-B21 #AKM"/>
    <s v="HP DL580R07 CN CTO Server"/>
    <n v="22"/>
    <s v="4CDT42014036"/>
    <d v="2015-01-06T17:32:21"/>
    <d v="2015-01-09T00:00:00"/>
    <d v="2015-01-09T12:11:26"/>
    <d v="2015-01-07T09:17:00"/>
    <d v="2015-01-07T13:51:15"/>
    <d v="2015-01-09T10:14:53"/>
    <n v="48.964722222124692"/>
    <n v="66.651388888887595"/>
    <x v="1"/>
    <n v="15.744166666700039"/>
    <n v="1.9425000000628643"/>
    <x v="1"/>
    <s v="rework"/>
    <s v="Line"/>
    <x v="9"/>
    <x v="9"/>
    <n v="1"/>
    <s v="6CU50260RJ：老化报内存错误，更换2根内存后测试pass"/>
  </r>
  <r>
    <s v="TSG_MLDL_PF"/>
    <n v="313884783"/>
    <n v="1115291042"/>
    <s v="703586-B21 #AKM"/>
    <s v="HP DL580R07 CN CTO Server"/>
    <n v="1"/>
    <s v="4CDT42014036"/>
    <d v="2015-01-06T17:29:27"/>
    <d v="2015-01-09T00:00:00"/>
    <d v="2015-01-09T12:11:26"/>
    <d v="2015-01-07T09:17:00"/>
    <d v="2015-01-07T12:41:54"/>
    <d v="2015-01-08T15:46:16"/>
    <n v="30.487777777772862"/>
    <n v="66.69972222216893"/>
    <x v="2"/>
    <n v="15.792499999981374"/>
    <n v="20.419444444414694"/>
    <x v="3"/>
    <s v="Group order"/>
    <s v="WH"/>
    <x v="9"/>
    <x v="9"/>
    <n v="1"/>
    <m/>
  </r>
  <r>
    <s v="TSG_MLDL_PF"/>
    <n v="313884019"/>
    <n v="1115288633"/>
    <s v="704963-B21 #AKM"/>
    <s v="HP DL585 G7 BC NIC CTO Server"/>
    <n v="2"/>
    <s v="4CDT42007217"/>
    <d v="2015-01-05T10:24:53"/>
    <d v="2015-01-07T00:00:00"/>
    <d v="2015-01-08T17:29:15"/>
    <d v="2015-01-06T07:00:00"/>
    <d v="2015-01-06T11:58:03"/>
    <d v="2015-01-08T15:40:56"/>
    <n v="56.682222222327255"/>
    <n v="79.072777777793817"/>
    <x v="1"/>
    <n v="20.585277777747251"/>
    <n v="1.8052777777193114"/>
    <x v="1"/>
    <s v="setting"/>
    <s v="PE"/>
    <x v="1"/>
    <x v="1"/>
    <n v="1"/>
    <s v="solconfig issue( 内存全部亮灯且不显示)2015/1/6 (周二) 23:43"/>
  </r>
  <r>
    <s v="TSG_BLD_PF"/>
    <n v="313855920"/>
    <n v="1115249541"/>
    <s v="518878-B21"/>
    <s v="HP BL685c G7 CTO Blade"/>
    <n v="43"/>
    <s v="4CDT42005901"/>
    <d v="2015-01-05T00:37:37"/>
    <d v="2015-01-09T00:00:00"/>
    <d v="2015-01-10T19:32:48"/>
    <d v="2015-01-07T13:07:00"/>
    <d v="2015-01-07T16:14:25"/>
    <d v="2015-01-10T17:08:24"/>
    <n v="76.023333333316259"/>
    <n v="138.91972222225741"/>
    <x v="1"/>
    <n v="60.489722222147975"/>
    <n v="2.4066666667931713"/>
    <x v="1"/>
    <s v="MI Issue"/>
    <s v="Line"/>
    <x v="4"/>
    <x v="4"/>
    <n v="1"/>
    <s v="short 578817-003+6CU5015XY5：MI换料重跑测试"/>
  </r>
  <r>
    <s v="TSG_MLDL_PF"/>
    <n v="313876103"/>
    <n v="1115277239"/>
    <s v="726044-AA5"/>
    <s v="HP DL320eGen8v2 E3-1220v3 CN Svr/Promo"/>
    <n v="5"/>
    <s v="4CDT41981387"/>
    <d v="2014-12-30T18:47:11"/>
    <d v="2015-01-06T00:00:00"/>
    <d v="2015-01-05T15:39:26"/>
    <d v="2014-12-31T12:59:00"/>
    <d v="2014-12-31T15:02:03"/>
    <d v="2015-01-05T13:43:07"/>
    <n v="120.73527777765412"/>
    <n v="140.87083333334886"/>
    <x v="0"/>
    <n v="18.196944444556721"/>
    <n v="1.938611111138016"/>
    <x v="0"/>
    <m/>
    <m/>
    <x v="0"/>
    <x v="0"/>
    <n v="1"/>
    <s v="元旦休息1号到4号"/>
  </r>
  <r>
    <s v="TSG_BLD_PF"/>
    <n v="313875874"/>
    <n v="1115278964"/>
    <s v="679118-B21"/>
    <s v="HP BL660c Gen8 10/20Gb FLB CTO Blade"/>
    <n v="2"/>
    <s v="4CDT41977188"/>
    <d v="2014-12-30T02:01:56"/>
    <d v="2015-01-07T00:00:00"/>
    <d v="2015-01-05T08:43:16"/>
    <d v="2014-12-31T08:49:00"/>
    <d v="2014-12-31T10:12:23"/>
    <d v="2015-01-01T08:21:39"/>
    <n v="23.544166666804813"/>
    <n v="150.6888888887479"/>
    <x v="2"/>
    <n v="30.784444444288965"/>
    <n v="96.360277777654119"/>
    <x v="4"/>
    <s v="shortage"/>
    <s v="Buyer"/>
    <x v="5"/>
    <x v="5"/>
    <n v="1"/>
    <s v="short 732730-001"/>
  </r>
  <r>
    <s v="TSG_MLDL_PF"/>
    <n v="313862390"/>
    <n v="1115261010"/>
    <s v="653200-B21 #AKM"/>
    <s v="HP DL380p Gen8 8-SFF CTO Server"/>
    <n v="15"/>
    <s v="4CDT41977141"/>
    <d v="2014-12-30T01:52:56"/>
    <d v="2015-01-07T00:00:00"/>
    <d v="2015-01-05T08:43:16"/>
    <d v="2014-12-30T18:10:00"/>
    <d v="2014-12-30T22:42:17"/>
    <d v="2014-12-31T21:22:11"/>
    <n v="27.20305555552477"/>
    <n v="150.8388888888876"/>
    <x v="2"/>
    <n v="16.284444444521796"/>
    <n v="107.35138888884103"/>
    <x v="3"/>
    <s v="PGI"/>
    <s v="WH"/>
    <x v="3"/>
    <x v="3"/>
    <n v="1"/>
    <m/>
  </r>
  <r>
    <s v="TSG_BLD_PF"/>
    <n v="313865522"/>
    <n v="1115259005"/>
    <s v="735151-B21"/>
    <s v="HP BL460c Gen8 E5-v2 10/20Gb CTO Blade"/>
    <n v="4"/>
    <s v="4CDT41972793"/>
    <d v="2014-12-29T13:32:06"/>
    <d v="2015-01-05T00:00:00"/>
    <d v="2015-01-08T21:27:14"/>
    <d v="2014-12-29T22:00:00"/>
    <d v="2014-12-30T00:24:43"/>
    <d v="2014-12-31T04:04:17"/>
    <n v="30.071388888987713"/>
    <n v="247.91888888884569"/>
    <x v="2"/>
    <n v="8.4649999999674037"/>
    <n v="209.38249999989057"/>
    <x v="3"/>
    <s v="PGI"/>
    <s v="WH"/>
    <x v="3"/>
    <x v="3"/>
    <n v="1"/>
    <m/>
  </r>
  <r>
    <s v="TSG_BLD_PF"/>
    <n v="313868449"/>
    <n v="1115267898"/>
    <s v="518878-B21"/>
    <s v="HP BL685c G7 CTO Blade"/>
    <n v="15"/>
    <s v="4CDT41970276"/>
    <d v="2014-12-29T02:24:57"/>
    <d v="2015-01-06T00:00:00"/>
    <d v="2015-01-07T15:11:54"/>
    <d v="2015-01-05T10:30:00"/>
    <d v="2015-01-05T13:53:53"/>
    <d v="2015-01-07T13:49:26"/>
    <n v="51.323888888815418"/>
    <n v="228.78249999991385"/>
    <x v="1"/>
    <n v="176.08416666666744"/>
    <n v="1.374444444430992"/>
    <x v="2"/>
    <s v="Special"/>
    <s v="Others"/>
    <x v="2"/>
    <x v="2"/>
    <n v="1"/>
    <s v="short 578817-003+刀片无夜班生产"/>
  </r>
  <r>
    <s v="TSG_BLD_PF"/>
    <n v="313859498"/>
    <n v="1115256964"/>
    <s v="518878-B21"/>
    <s v="HP BL685c G7 CTO Blade"/>
    <n v="21"/>
    <s v="4CDT41970269"/>
    <d v="2014-12-29T02:25:57"/>
    <d v="2015-01-06T00:00:00"/>
    <d v="2015-01-08T13:46:21"/>
    <d v="2015-01-05T10:30:00"/>
    <d v="2015-01-05T14:49:50"/>
    <d v="2015-01-08T11:09:48"/>
    <n v="72.663333333330229"/>
    <n v="251.3399999999092"/>
    <x v="1"/>
    <n v="176.06749999994645"/>
    <n v="2.6091666666325182"/>
    <x v="2"/>
    <s v="Special"/>
    <s v="Others"/>
    <x v="2"/>
    <x v="2"/>
    <n v="1"/>
    <s v="short 578817-003+刀片无夜班生产"/>
  </r>
  <r>
    <s v="TSG_MLDL_PF"/>
    <n v="313881640"/>
    <n v="1115285609"/>
    <s v="704963-B21 #AKM"/>
    <s v="HP DL585 G7 BC NIC CTO Server"/>
    <n v="4"/>
    <s v="4CCT42011098"/>
    <d v="2015-01-06T01:06:03"/>
    <d v="2015-01-12T00:00:00"/>
    <d v="2015-01-08T09:15:06"/>
    <d v="2015-01-06T21:30:00"/>
    <d v="2015-01-06T23:45:30"/>
    <d v="2015-01-07T21:37:07"/>
    <n v="24.118611111072823"/>
    <n v="56.150833333376795"/>
    <x v="0"/>
    <n v="20.399166666786186"/>
    <n v="11.633055555517785"/>
    <x v="0"/>
    <m/>
    <m/>
    <x v="0"/>
    <x v="0"/>
    <n v="1"/>
    <s v="short 696178-001"/>
  </r>
  <r>
    <s v="TSG_MLDL_PF"/>
    <n v="313871972"/>
    <n v="1115274532"/>
    <s v="669253-B21 #AKM"/>
    <s v="HP DL380e Gen8 8SFF CTO Server"/>
    <n v="7"/>
    <s v="4CCT42007734"/>
    <d v="2015-01-05T12:51:48"/>
    <d v="2015-01-08T00:00:00"/>
    <d v="2015-01-07T11:28:54"/>
    <d v="2015-01-06T07:00:00"/>
    <d v="2015-01-06T10:31:47"/>
    <d v="2015-01-07T09:43:06"/>
    <n v="26.718333333323244"/>
    <n v="46.618333333404735"/>
    <x v="0"/>
    <n v="18.13666666665813"/>
    <n v="1.7633333334233612"/>
    <x v="0"/>
    <m/>
    <m/>
    <x v="0"/>
    <x v="0"/>
    <n v="1"/>
    <m/>
  </r>
  <r>
    <s v="TSG_MLDL_PF"/>
    <n v="313881685"/>
    <n v="1115287517"/>
    <s v="704963-B21 #AKM"/>
    <s v="HP DL585 G7 BC NIC CTO Server"/>
    <n v="2"/>
    <s v="4CCT41986510"/>
    <d v="2014-12-31T15:33:34"/>
    <d v="2015-01-07T00:00:00"/>
    <d v="2015-01-07T13:52:53"/>
    <d v="2015-01-05T08:30:00"/>
    <d v="2015-01-05T15:11:45"/>
    <d v="2015-01-07T10:56:21"/>
    <n v="50.439166666707024"/>
    <n v="166.3219444443821"/>
    <x v="1"/>
    <n v="112.94055555551313"/>
    <n v="2.942222222161945"/>
    <x v="1"/>
    <s v="operator"/>
    <s v="Line"/>
    <x v="10"/>
    <x v="10"/>
    <n v="1"/>
    <s v="物料上线到装配时间超过7小时（受SL4500需要拆3000个硬盘影响）"/>
  </r>
  <r>
    <s v="TSG_MLDL_PF"/>
    <n v="313881642"/>
    <n v="1115286316"/>
    <s v="704963-B21 #AKM"/>
    <s v="HP DL585 G7 BC NIC CTO Server"/>
    <n v="4"/>
    <s v="4CCT41986509"/>
    <d v="2014-12-31T15:33:34"/>
    <d v="2015-01-07T00:00:00"/>
    <d v="2015-01-06T16:26:50"/>
    <d v="2015-01-05T08:30:00"/>
    <d v="2015-01-05T13:10:09"/>
    <d v="2015-01-06T14:30:13"/>
    <n v="30.003611111082137"/>
    <n v="144.88777777785435"/>
    <x v="2"/>
    <n v="112.94055555551313"/>
    <n v="1.9436111112590879"/>
    <x v="2"/>
    <s v="Special"/>
    <s v="Others"/>
    <x v="2"/>
    <x v="2"/>
    <n v="1"/>
    <m/>
  </r>
  <r>
    <s v="TSG_MLDL_PF"/>
    <n v="313881641"/>
    <n v="1115285611"/>
    <s v="704963-B21 #AKM"/>
    <s v="HP DL585 G7 BC NIC CTO Server"/>
    <n v="4"/>
    <s v="4CCT41986508"/>
    <d v="2014-12-31T15:33:35"/>
    <d v="2015-01-07T00:00:00"/>
    <d v="2015-01-06T16:26:51"/>
    <d v="2015-01-05T08:30:00"/>
    <d v="2015-01-05T13:22:54"/>
    <d v="2015-01-06T14:13:07"/>
    <n v="29.718611111165956"/>
    <n v="144.88777777767973"/>
    <x v="2"/>
    <n v="112.94027777767042"/>
    <n v="2.2288888888433576"/>
    <x v="2"/>
    <s v="Special"/>
    <s v="Others"/>
    <x v="2"/>
    <x v="2"/>
    <n v="1"/>
    <m/>
  </r>
  <r>
    <s v="TSG_MLDL_PF"/>
    <n v="313881637"/>
    <n v="1115285595"/>
    <s v="704963-B21 #AKM"/>
    <s v="HP DL585 G7 BC NIC CTO Server"/>
    <n v="26"/>
    <s v="4CCT41986507"/>
    <d v="2014-12-31T15:39:36"/>
    <d v="2015-01-07T00:00:00"/>
    <d v="2015-01-07T00:54:40"/>
    <d v="2015-01-05T08:30:00"/>
    <d v="2015-01-05T13:37:21"/>
    <d v="2015-01-06T22:34:38"/>
    <n v="38.077222222345881"/>
    <n v="153.25111111113802"/>
    <x v="2"/>
    <n v="112.84000000002561"/>
    <n v="2.3338888887665235"/>
    <x v="2"/>
    <s v="Special"/>
    <s v="Others"/>
    <x v="2"/>
    <x v="2"/>
    <n v="1"/>
    <m/>
  </r>
  <r>
    <s v="TSG_MLDL_PF"/>
    <n v="313881627"/>
    <n v="1115285523"/>
    <s v="704963-B21 #AKM"/>
    <s v="HP DL585 G7 BC NIC CTO Server"/>
    <n v="2"/>
    <s v="4CCT41986506"/>
    <d v="2014-12-31T15:33:35"/>
    <d v="2015-01-07T00:00:00"/>
    <d v="2015-01-07T04:21:44"/>
    <d v="2015-01-05T08:30:00"/>
    <d v="2015-01-05T14:41:06"/>
    <d v="2015-01-06T14:23:54"/>
    <n v="29.898333333316259"/>
    <n v="156.80249999987427"/>
    <x v="2"/>
    <n v="112.94027777767042"/>
    <n v="13.963888888887595"/>
    <x v="3"/>
    <s v="PGI"/>
    <s v="WH"/>
    <x v="3"/>
    <x v="3"/>
    <n v="1"/>
    <m/>
  </r>
  <r>
    <s v="TSG_MLDL_PF"/>
    <n v="313881627"/>
    <n v="1115285522"/>
    <s v="704963-B21 #AKM"/>
    <s v="HP DL585 G7 BC NIC CTO Server"/>
    <n v="6"/>
    <s v="4CCT41986506"/>
    <d v="2014-12-31T15:34:35"/>
    <d v="2015-01-07T00:00:00"/>
    <d v="2015-01-07T04:21:43"/>
    <d v="2015-01-05T08:30:00"/>
    <d v="2015-01-05T14:48:12"/>
    <d v="2015-01-07T00:41:26"/>
    <n v="40.190555555687752"/>
    <n v="156.78555555565981"/>
    <x v="2"/>
    <n v="112.92361111112405"/>
    <n v="3.6713888888480142"/>
    <x v="2"/>
    <s v="Special"/>
    <s v="Others"/>
    <x v="2"/>
    <x v="2"/>
    <n v="1"/>
    <m/>
  </r>
  <r>
    <s v="TSG_MLDL_PF"/>
    <n v="313867697"/>
    <n v="1115272593"/>
    <s v="653200-B21 #AKM"/>
    <s v="HP DL380p Gen8 8-SFF CTO Server"/>
    <n v="2"/>
    <s v="4CCT41977159"/>
    <d v="2014-12-30T02:00:57"/>
    <d v="2015-01-07T00:00:00"/>
    <d v="2015-01-05T08:27:14"/>
    <d v="2014-12-30T20:30:00"/>
    <d v="2014-12-31T02:57:06"/>
    <d v="2014-12-31T18:15:08"/>
    <n v="21.752222222217824"/>
    <n v="150.43805555562722"/>
    <x v="2"/>
    <n v="18.484166666690726"/>
    <n v="110.20166666671867"/>
    <x v="3"/>
    <s v="PGI"/>
    <s v="WH"/>
    <x v="3"/>
    <x v="3"/>
    <n v="1"/>
    <s v="short 652564-b21@@"/>
  </r>
  <r>
    <s v="TSG_MLDL_PF"/>
    <n v="313899135"/>
    <n v="1115308974"/>
    <s v="669257-B21 #AKM"/>
    <s v="HP DL380e Gen8 12LFF CTO Server"/>
    <n v="1"/>
    <s v="4CAT42019821"/>
    <d v="2015-01-07T17:08:52"/>
    <d v="2015-01-12T00:00:00"/>
    <d v="2015-01-09T06:41:21"/>
    <d v="2015-01-08T10:15:00"/>
    <d v="2015-01-08T13:08:50"/>
    <d v="2015-01-09T04:42:38"/>
    <n v="18.460555555473547"/>
    <n v="37.54138888878515"/>
    <x v="0"/>
    <n v="17.102222222252749"/>
    <n v="1.9786111110588536"/>
    <x v="0"/>
    <m/>
    <m/>
    <x v="0"/>
    <x v="0"/>
    <n v="1"/>
    <m/>
  </r>
  <r>
    <s v="TSG_MLDL_PF"/>
    <n v="313881165"/>
    <n v="1115285203"/>
    <s v="686792-B21 #AKM"/>
    <s v="HP DL560 Gen8 CTO Server"/>
    <n v="2"/>
    <s v="4CAT42018671"/>
    <d v="2015-01-07T14:03:42"/>
    <d v="2015-01-13T00:00:00"/>
    <d v="2015-01-09T17:30:31"/>
    <d v="2015-01-09T00:15:00"/>
    <d v="2015-01-09T02:29:49"/>
    <d v="2015-01-09T15:42:44"/>
    <n v="15.462222222355194"/>
    <n v="51.446944444498513"/>
    <x v="0"/>
    <n v="34.188333333295304"/>
    <n v="1.7963888888480142"/>
    <x v="0"/>
    <m/>
    <m/>
    <x v="0"/>
    <x v="0"/>
    <n v="1"/>
    <s v="short 688196-001"/>
  </r>
  <r>
    <s v="TSG_MLDL_PF"/>
    <n v="313885897"/>
    <n v="1115292161"/>
    <s v="719064-B21 #AKM"/>
    <s v="HP DL380 Gen9 8SFF CTO Server"/>
    <n v="1"/>
    <s v="4CAT42014045"/>
    <d v="2015-01-06T17:32:19"/>
    <d v="2015-01-09T00:00:00"/>
    <d v="2015-01-08T15:22:16"/>
    <d v="2015-01-07T09:17:00"/>
    <d v="2015-01-07T13:07:45"/>
    <d v="2015-01-08T13:07:26"/>
    <n v="27.840555555419996"/>
    <n v="45.832499999902211"/>
    <x v="0"/>
    <n v="15.744722222210839"/>
    <n v="2.2472222222713754"/>
    <x v="0"/>
    <m/>
    <m/>
    <x v="0"/>
    <x v="0"/>
    <n v="1"/>
    <m/>
  </r>
  <r>
    <s v="TSG_MLDL_PF"/>
    <n v="313885897"/>
    <n v="1115292160"/>
    <s v="719064-B21 #AKM"/>
    <s v="HP DL380 Gen9 8SFF CTO Server"/>
    <n v="2"/>
    <s v="4CAT42014044"/>
    <d v="2015-01-06T17:32:19"/>
    <d v="2015-01-09T00:00:00"/>
    <d v="2015-01-08T14:50:12"/>
    <d v="2015-01-07T09:17:00"/>
    <d v="2015-01-07T12:59:45"/>
    <d v="2015-01-08T13:34:31"/>
    <n v="28.291944444354158"/>
    <n v="45.298055555555038"/>
    <x v="0"/>
    <n v="15.744722222210839"/>
    <n v="1.2613888889900409"/>
    <x v="0"/>
    <m/>
    <m/>
    <x v="0"/>
    <x v="0"/>
    <n v="1"/>
    <m/>
  </r>
  <r>
    <s v="TSG_MLDL_PF"/>
    <n v="313885897"/>
    <n v="1115292158"/>
    <s v="719064-B21 #AKM"/>
    <s v="HP DL380 Gen9 8SFF CTO Server"/>
    <n v="1"/>
    <s v="4CAT42014043"/>
    <d v="2015-01-06T17:32:21"/>
    <d v="2015-01-09T00:00:00"/>
    <d v="2015-01-08T15:22:16"/>
    <d v="2015-01-07T09:17:00"/>
    <d v="2015-01-07T13:17:05"/>
    <d v="2015-01-08T13:08:03"/>
    <n v="27.850833333330229"/>
    <n v="45.831944444391411"/>
    <x v="0"/>
    <n v="15.744166666700039"/>
    <n v="2.2369444443611428"/>
    <x v="0"/>
    <m/>
    <m/>
    <x v="0"/>
    <x v="0"/>
    <n v="1"/>
    <m/>
  </r>
  <r>
    <s v="TSG_MLDL_PF"/>
    <n v="313885897"/>
    <n v="1115292162"/>
    <s v="767032-B21 #AKM"/>
    <s v="HP DL380 Gen9 24SFF CTO Server"/>
    <n v="2"/>
    <s v="4CAT42014042"/>
    <d v="2015-01-06T17:32:29"/>
    <d v="2015-01-09T00:00:00"/>
    <d v="2015-01-09T01:08:16"/>
    <d v="2015-01-07T09:17:00"/>
    <d v="2015-01-07T14:31:56"/>
    <d v="2015-01-08T22:12:52"/>
    <n v="36.931111111014616"/>
    <n v="55.59638888889458"/>
    <x v="0"/>
    <n v="15.741944444482215"/>
    <n v="2.9233333333977498"/>
    <x v="0"/>
    <m/>
    <m/>
    <x v="0"/>
    <x v="0"/>
    <n v="1"/>
    <m/>
  </r>
  <r>
    <s v="TSG_MLDL_PF"/>
    <n v="313881165"/>
    <n v="1115285206"/>
    <s v="754523-B21 #AKM"/>
    <s v="HP DL180 Gen9 8SFF CTO Server"/>
    <n v="6"/>
    <s v="4CAT42006171"/>
    <d v="2015-01-05T02:14:38"/>
    <d v="2015-01-09T00:00:00"/>
    <d v="2015-01-07T15:11:54"/>
    <d v="2015-01-06T06:52:00"/>
    <d v="2015-01-06T15:56:56"/>
    <d v="2015-01-07T12:44:55"/>
    <n v="29.881944444437977"/>
    <n v="60.954444444389082"/>
    <x v="2"/>
    <n v="28.622777777840383"/>
    <n v="2.4497222221107222"/>
    <x v="4"/>
    <s v="shortage"/>
    <s v="Buyer"/>
    <x v="5"/>
    <x v="5"/>
    <n v="1"/>
    <s v="short 725569-B21@@"/>
  </r>
  <r>
    <s v="TSG_MLDL_PF"/>
    <n v="313881164"/>
    <n v="1115285197"/>
    <s v="754523-B21 #AKM"/>
    <s v="HP DL180 Gen9 8SFF CTO Server"/>
    <n v="1"/>
    <s v="4CAT41985051"/>
    <d v="2014-12-31T11:07:31"/>
    <d v="2015-01-07T00:00:00"/>
    <d v="2015-01-05T15:23:37"/>
    <d v="2014-12-31T22:53:00"/>
    <d v="2015-01-01T02:25:42"/>
    <d v="2015-01-05T12:51:21"/>
    <n v="109.97249999991618"/>
    <n v="124.2683333333116"/>
    <x v="0"/>
    <n v="11.758055555575993"/>
    <n v="2.5377777778194286"/>
    <x v="0"/>
    <m/>
    <m/>
    <x v="0"/>
    <x v="0"/>
    <n v="1"/>
    <s v="元旦休息1号到4号"/>
  </r>
  <r>
    <s v="TSG_MLDL_PF"/>
    <n v="313881164"/>
    <n v="1115285196"/>
    <s v="754523-B21 #AKM"/>
    <s v="HP DL180 Gen9 8SFF CTO Server"/>
    <n v="10"/>
    <s v="4CAT41985050"/>
    <d v="2014-12-31T11:08:31"/>
    <d v="2015-01-07T00:00:00"/>
    <d v="2015-01-06T14:35:33"/>
    <d v="2014-12-31T22:53:00"/>
    <d v="2015-01-01T02:32:44"/>
    <d v="2015-01-06T12:24:43"/>
    <n v="133.52861111116363"/>
    <n v="147.45055555558065"/>
    <x v="0"/>
    <n v="11.741388888854999"/>
    <n v="2.1805555555620231"/>
    <x v="0"/>
    <m/>
    <m/>
    <x v="0"/>
    <x v="0"/>
    <n v="1"/>
    <s v="元旦休息1号到4号"/>
  </r>
  <r>
    <s v="TSG_MLDL_PF"/>
    <n v="313881165"/>
    <n v="1115285208"/>
    <s v="754523-B21 #AKM"/>
    <s v="HP DL180 Gen9 8SFF CTO Server"/>
    <n v="4"/>
    <s v="4CAT41980051"/>
    <d v="2014-12-30T14:35:07"/>
    <d v="2015-01-07T00:00:00"/>
    <d v="2015-01-05T15:39:26"/>
    <d v="2014-12-31T12:59:00"/>
    <d v="2014-12-31T18:16:25"/>
    <d v="2015-01-05T13:39:25"/>
    <n v="120.67361111106584"/>
    <n v="145.07194444444031"/>
    <x v="0"/>
    <n v="22.39805555564817"/>
    <n v="2.0002777777262963"/>
    <x v="0"/>
    <m/>
    <m/>
    <x v="0"/>
    <x v="0"/>
    <n v="1"/>
    <s v="rework from cancel order+元旦休息1号到4号"/>
  </r>
  <r>
    <s v="TSG_MLDL_PF"/>
    <n v="313881165"/>
    <n v="1115285201"/>
    <s v="754523-B21 #AKM"/>
    <s v="HP DL180 Gen9 8SFF CTO Server"/>
    <n v="1"/>
    <s v="4CAT41980050"/>
    <d v="2014-12-30T14:35:07"/>
    <d v="2015-01-07T00:00:00"/>
    <d v="2015-01-05T08:27:14"/>
    <d v="2014-12-31T09:35:00"/>
    <d v="2014-12-31T14:48:30"/>
    <d v="2015-01-01T07:36:42"/>
    <n v="22.028333333437331"/>
    <n v="137.86861111113103"/>
    <x v="2"/>
    <n v="18.99805555556668"/>
    <n v="96.84222222212702"/>
    <x v="3"/>
    <s v="PGI"/>
    <s v="WH"/>
    <x v="3"/>
    <x v="3"/>
    <n v="1"/>
    <m/>
  </r>
  <r>
    <s v="TSG_MLDL_PF"/>
    <n v="313881165"/>
    <n v="1115285200"/>
    <s v="754523-B21 #AKM"/>
    <s v="HP DL180 Gen9 8SFF CTO Server"/>
    <n v="12"/>
    <s v="4CAT41980049"/>
    <d v="2014-12-30T14:36:07"/>
    <d v="2015-01-07T00:00:00"/>
    <d v="2015-01-05T17:31:21"/>
    <d v="2014-12-31T12:59:00"/>
    <d v="2014-12-31T17:04:50"/>
    <d v="2015-01-05T15:38:10"/>
    <n v="122.65277777763549"/>
    <n v="146.9205555554945"/>
    <x v="0"/>
    <n v="22.381388888927177"/>
    <n v="1.8863888889318332"/>
    <x v="0"/>
    <m/>
    <m/>
    <x v="0"/>
    <x v="0"/>
    <n v="1"/>
    <s v="元旦休息1号到4号"/>
  </r>
  <r>
    <s v="TSG_MLDL_PF"/>
    <n v="313881165"/>
    <n v="1115285199"/>
    <s v="754523-B21 #AKM"/>
    <s v="HP DL180 Gen9 8SFF CTO Server"/>
    <n v="1"/>
    <s v="4CAT41980048"/>
    <d v="2014-12-30T14:35:07"/>
    <d v="2015-01-07T00:00:00"/>
    <d v="2015-01-05T08:43:16"/>
    <d v="2014-12-31T09:35:00"/>
    <d v="2014-12-31T14:45:03"/>
    <d v="2015-01-01T07:36:59"/>
    <n v="22.033055555541068"/>
    <n v="138.13583333330462"/>
    <x v="2"/>
    <n v="18.99805555556668"/>
    <n v="97.10472222219687"/>
    <x v="3"/>
    <s v="PGI"/>
    <s v="WH"/>
    <x v="3"/>
    <x v="3"/>
    <n v="1"/>
    <m/>
  </r>
  <r>
    <s v="TSG_MLDL_PF"/>
    <n v="313891740"/>
    <n v="1115299869"/>
    <s v="653203-B21 #AKM"/>
    <s v="HP DL385p Gen8 8-SFF CTO Server"/>
    <n v="1"/>
    <s v="4BJT42025354"/>
    <d v="2015-01-08T17:53:33"/>
    <d v="2015-01-13T00:00:00"/>
    <d v="2015-01-10T22:42:50"/>
    <d v="2015-01-09T15:38:00"/>
    <d v="2015-01-09T22:50:49"/>
    <d v="2015-01-10T13:14:58"/>
    <n v="21.616111111070495"/>
    <n v="52.821388888929505"/>
    <x v="0"/>
    <n v="21.740833333285991"/>
    <n v="9.4644444445730187"/>
    <x v="0"/>
    <m/>
    <m/>
    <x v="0"/>
    <x v="0"/>
    <n v="1"/>
    <m/>
  </r>
  <r>
    <s v="TSG_MLDL_PF"/>
    <n v="313891740"/>
    <n v="1115299870"/>
    <s v="653203-B21 #AKM"/>
    <s v="HP DL385p Gen8 8-SFF CTO Server"/>
    <n v="9"/>
    <s v="4BJT42025354"/>
    <d v="2015-01-08T17:56:23"/>
    <d v="2015-01-13T00:00:00"/>
    <d v="2015-01-10T22:42:51"/>
    <d v="2015-01-09T15:38:00"/>
    <d v="2015-01-09T22:52:21"/>
    <d v="2015-01-10T21:35:12"/>
    <n v="29.953333333425689"/>
    <n v="52.77444444433786"/>
    <x v="0"/>
    <n v="21.693611111026257"/>
    <n v="1.127499999885913"/>
    <x v="0"/>
    <m/>
    <m/>
    <x v="0"/>
    <x v="0"/>
    <n v="1"/>
    <m/>
  </r>
  <r>
    <s v="TSG_MLDL_PF"/>
    <n v="313891740"/>
    <n v="1115299872"/>
    <s v="669805-B21 #AKM"/>
    <s v="HP DL385p Gen8 12-LFF CTO Server"/>
    <n v="4"/>
    <s v="4BJT42025354"/>
    <d v="2015-01-08T17:54:23"/>
    <d v="2015-01-13T00:00:00"/>
    <d v="2015-01-10T22:42:50"/>
    <d v="2015-01-09T15:38:00"/>
    <d v="2015-01-09T22:38:47"/>
    <d v="2015-01-10T17:16:12"/>
    <n v="25.63666666665813"/>
    <n v="52.807500000111759"/>
    <x v="0"/>
    <n v="21.726944444468245"/>
    <n v="5.4438888889853843"/>
    <x v="0"/>
    <m/>
    <m/>
    <x v="0"/>
    <x v="0"/>
    <n v="1"/>
    <m/>
  </r>
  <r>
    <s v="TSG_MLDL_PF"/>
    <n v="313619471"/>
    <n v="1114929259"/>
    <s v="E7W80A"/>
    <s v="HP StoreEasy 1640 Storage"/>
    <n v="10"/>
    <s v="4BJT42024660"/>
    <d v="2015-01-08T16:16:21"/>
    <d v="2015-01-13T00:00:00"/>
    <d v="2015-01-10T17:26:47"/>
    <d v="2015-01-09T09:20:00"/>
    <d v="2015-01-09T12:24:16"/>
    <d v="2015-01-10T15:58:55"/>
    <n v="30.648611111158971"/>
    <n v="49.173888888792135"/>
    <x v="0"/>
    <n v="17.060833333292976"/>
    <n v="1.4644444443401881"/>
    <x v="0"/>
    <m/>
    <m/>
    <x v="0"/>
    <x v="0"/>
    <n v="1"/>
    <m/>
  </r>
  <r>
    <s v="TSG_MLDL_PF"/>
    <n v="313882712"/>
    <n v="1115286060"/>
    <s v="666532-B21 #AKM"/>
    <s v="HP DL360p Gen8 10-SFF CTO Server"/>
    <n v="1"/>
    <s v="4BJT42023959"/>
    <d v="2015-01-08T13:18:15"/>
    <d v="2015-01-13T00:00:00"/>
    <d v="2015-01-09T17:45:31"/>
    <d v="2015-01-08T20:45:00"/>
    <d v="2015-01-08T23:59:13"/>
    <d v="2015-01-09T15:03:10"/>
    <n v="18.302777777658775"/>
    <n v="28.45444444444729"/>
    <x v="0"/>
    <n v="7.4458333334187046"/>
    <n v="2.7058333333698101"/>
    <x v="0"/>
    <m/>
    <m/>
    <x v="0"/>
    <x v="0"/>
    <n v="1"/>
    <m/>
  </r>
  <r>
    <s v="TSG_MLDL_PF"/>
    <n v="313872637"/>
    <n v="1115273133"/>
    <s v="653200-B21 #AKM"/>
    <s v="HP DL380p Gen8 8-SFF CTO Server"/>
    <n v="2"/>
    <s v="4BJT42023956"/>
    <d v="2015-01-08T13:20:08"/>
    <d v="2015-01-14T00:00:00"/>
    <d v="2015-01-09T16:42:35"/>
    <d v="2015-01-08T20:45:00"/>
    <d v="2015-01-08T22:09:48"/>
    <d v="2015-01-09T14:37:56"/>
    <n v="17.882222222106066"/>
    <n v="27.374166666646488"/>
    <x v="0"/>
    <n v="7.4144444445264526"/>
    <n v="2.0775000000139698"/>
    <x v="0"/>
    <m/>
    <m/>
    <x v="0"/>
    <x v="0"/>
    <n v="1"/>
    <m/>
  </r>
  <r>
    <s v="TSG_MLDL_PF"/>
    <n v="313872637"/>
    <n v="1115273132"/>
    <s v="653200-B21 #AKM"/>
    <s v="HP DL380p Gen8 8-SFF CTO Server"/>
    <n v="3"/>
    <s v="4BJT42023955"/>
    <d v="2015-01-08T13:20:06"/>
    <d v="2015-01-14T00:00:00"/>
    <d v="2015-01-09T17:30:31"/>
    <d v="2015-01-08T20:45:00"/>
    <d v="2015-01-08T21:57:17"/>
    <d v="2015-01-09T15:07:06"/>
    <n v="18.368333333346527"/>
    <n v="28.173611111124046"/>
    <x v="0"/>
    <n v="7.4150000000372529"/>
    <n v="2.3902777777402662"/>
    <x v="0"/>
    <m/>
    <m/>
    <x v="0"/>
    <x v="0"/>
    <n v="1"/>
    <m/>
  </r>
  <r>
    <s v="TSG_MLDL_PF"/>
    <n v="313872637"/>
    <n v="1115273131"/>
    <s v="728551-B21 #AKM"/>
    <s v="HP DL580 Gen8 CTO Svr"/>
    <n v="6"/>
    <s v="4BJT42023954"/>
    <d v="2015-01-08T13:21:14"/>
    <d v="2015-01-14T00:00:00"/>
    <d v="2015-01-09T15:06:33"/>
    <d v="2015-01-08T20:45:00"/>
    <d v="2015-01-09T00:30:01"/>
    <d v="2015-01-09T13:25:44"/>
    <n v="16.678888888796791"/>
    <n v="25.755277777730953"/>
    <x v="0"/>
    <n v="7.3961111110984348"/>
    <n v="1.6802777778357267"/>
    <x v="0"/>
    <m/>
    <m/>
    <x v="0"/>
    <x v="0"/>
    <n v="1"/>
    <m/>
  </r>
  <r>
    <s v="TSG_MLDL_PF"/>
    <n v="313893192"/>
    <n v="1115309060"/>
    <s v="722447-B21 #AKM"/>
    <s v="HP ML310e Gen8 v2 8SFF CTO Svr"/>
    <n v="1"/>
    <s v="4BJT42022945"/>
    <d v="2015-01-08T09:16:01"/>
    <d v="2015-01-12T00:00:00"/>
    <d v="2015-01-09T14:02:39"/>
    <d v="2015-01-08T20:45:00"/>
    <d v="2015-01-08T22:12:57"/>
    <d v="2015-01-09T12:34:49"/>
    <n v="15.830277777684387"/>
    <n v="28.777222222241107"/>
    <x v="0"/>
    <n v="11.48305555555271"/>
    <n v="1.4638888890040107"/>
    <x v="0"/>
    <m/>
    <m/>
    <x v="0"/>
    <x v="0"/>
    <n v="1"/>
    <m/>
  </r>
  <r>
    <s v="TSG_MLDL_PF"/>
    <n v="4051295267"/>
    <n v="1115318322"/>
    <s v="754523-B21 #AKM"/>
    <s v="HP DL180 Gen9 8SFF CTO Server"/>
    <n v="4"/>
    <s v="4BJT42021525"/>
    <d v="2015-01-08T00:48:55"/>
    <d v="2015-01-12T00:00:00"/>
    <d v="2015-01-10T05:09:39"/>
    <d v="2015-01-08T14:01:00"/>
    <d v="2015-01-08T15:50:37"/>
    <d v="2015-01-10T02:33:29"/>
    <n v="36.541388889017981"/>
    <n v="52.345555555424653"/>
    <x v="0"/>
    <n v="13.201388888759539"/>
    <n v="2.6027777776471339"/>
    <x v="0"/>
    <m/>
    <m/>
    <x v="0"/>
    <x v="0"/>
    <n v="1"/>
    <m/>
  </r>
  <r>
    <s v="TSG_MLDL_PF"/>
    <n v="313885846"/>
    <n v="1115291379"/>
    <s v="740800-AA1"/>
    <s v="HP DL560 Gen8 E5-4603v2 1P CN Svr"/>
    <n v="5"/>
    <s v="4BJT42020410"/>
    <d v="2015-01-07T19:43:51"/>
    <d v="2015-01-12T00:00:00"/>
    <d v="2015-01-09T19:21:33"/>
    <d v="2015-01-09T00:15:00"/>
    <d v="2015-01-09T02:27:01"/>
    <d v="2015-01-09T17:25:02"/>
    <n v="17.167222222255077"/>
    <n v="47.628333333414048"/>
    <x v="0"/>
    <n v="28.519166666606907"/>
    <n v="1.9419444445520639"/>
    <x v="0"/>
    <m/>
    <m/>
    <x v="0"/>
    <x v="0"/>
    <n v="1"/>
    <s v="short 688196-001"/>
  </r>
  <r>
    <s v="TSG_MLDL_PF"/>
    <n v="313881055"/>
    <n v="1115284803"/>
    <s v="728551-B21 #AKM"/>
    <s v="HP DL580 Gen8 CTO Svr"/>
    <n v="6"/>
    <s v="4BJT42020409"/>
    <d v="2015-01-07T19:46:51"/>
    <d v="2015-01-13T00:00:00"/>
    <d v="2015-01-09T14:02:39"/>
    <d v="2015-01-08T10:15:00"/>
    <d v="2015-01-08T13:05:40"/>
    <d v="2015-01-09T12:17:24"/>
    <n v="26.039999999979045"/>
    <n v="42.263333333423361"/>
    <x v="0"/>
    <n v="14.469166666734964"/>
    <n v="1.7541666667093523"/>
    <x v="0"/>
    <m/>
    <m/>
    <x v="0"/>
    <x v="0"/>
    <n v="1"/>
    <s v="机箱耳朵划伤 pull"/>
  </r>
  <r>
    <s v="TSG_MLDL_PF"/>
    <n v="313898216"/>
    <n v="1115306203"/>
    <s v="719064-B21 #AKM"/>
    <s v="HP DL380 Gen9 8SFF CTO Server"/>
    <n v="4"/>
    <s v="4BJT42019335"/>
    <d v="2015-01-07T15:39:44"/>
    <d v="2015-01-12T00:00:00"/>
    <d v="2015-01-09T03:47:20"/>
    <d v="2015-01-07T22:06:00"/>
    <d v="2015-01-08T09:34:54"/>
    <d v="2015-01-09T00:52:12"/>
    <n v="26.770000000018626"/>
    <n v="36.126666666590609"/>
    <x v="0"/>
    <n v="6.437777777609881"/>
    <n v="2.9188888889621012"/>
    <x v="0"/>
    <m/>
    <m/>
    <x v="0"/>
    <x v="0"/>
    <n v="1"/>
    <m/>
  </r>
  <r>
    <s v="TSG_MLDL_PF"/>
    <n v="313886107"/>
    <n v="1115291300"/>
    <s v="703586-B21 #AKM"/>
    <s v="HP DL580R07 CN CTO Server"/>
    <n v="40"/>
    <s v="4BJT42019247"/>
    <d v="2015-01-07T15:45:44"/>
    <d v="2015-01-13T00:00:00"/>
    <d v="2015-01-09T15:06:33"/>
    <d v="2015-01-07T22:06:00"/>
    <d v="2015-01-08T02:00:51"/>
    <d v="2015-01-09T13:35:49"/>
    <n v="39.496944444486871"/>
    <n v="47.346944444405381"/>
    <x v="0"/>
    <n v="6.3377777776331641"/>
    <n v="1.5122222222853452"/>
    <x v="0"/>
    <m/>
    <m/>
    <x v="0"/>
    <x v="0"/>
    <n v="1"/>
    <m/>
  </r>
  <r>
    <s v="TSG_BLD_PF"/>
    <n v="313878245"/>
    <n v="1115282106"/>
    <s v="679118-B21"/>
    <s v="HP BL660c Gen8 10/20Gb FLB CTO Blade"/>
    <n v="2"/>
    <s v="4BJT42018404"/>
    <d v="2015-01-07T12:46:40"/>
    <d v="2015-01-12T00:00:00"/>
    <d v="2015-01-09T09:31:23"/>
    <d v="2015-01-08T15:49:00"/>
    <d v="2015-01-08T16:49:05"/>
    <d v="2015-01-09T07:41:23"/>
    <n v="15.873055555508472"/>
    <n v="44.745277777779847"/>
    <x v="0"/>
    <n v="27.038888888899237"/>
    <n v="1.8333333333721384"/>
    <x v="0"/>
    <m/>
    <m/>
    <x v="0"/>
    <x v="0"/>
    <n v="1"/>
    <s v="short 5697-1866"/>
  </r>
  <r>
    <s v="TSG_BLD_PF"/>
    <n v="313878245"/>
    <n v="1115282107"/>
    <s v="735151-B21"/>
    <s v="HP BL460c Gen8 E5-v2 10/20Gb CTO Blade"/>
    <n v="4"/>
    <s v="4BJT42018404"/>
    <d v="2015-01-07T12:47:41"/>
    <d v="2015-01-12T00:00:00"/>
    <d v="2015-01-09T09:31:23"/>
    <d v="2015-01-08T15:49:00"/>
    <d v="2015-01-08T16:51:40"/>
    <d v="2015-01-09T07:41:32"/>
    <n v="15.875555555569008"/>
    <n v="44.728333333390765"/>
    <x v="0"/>
    <n v="27.021944444510154"/>
    <n v="1.8308333333116025"/>
    <x v="0"/>
    <m/>
    <m/>
    <x v="0"/>
    <x v="0"/>
    <n v="1"/>
    <s v="short 5697-1866"/>
  </r>
  <r>
    <s v="TSG_MLDL_PF"/>
    <n v="313885488"/>
    <n v="1115291556"/>
    <s v="661189-B21 #AKM"/>
    <s v="HP DL360e Gen8 8SFF CTO Server"/>
    <n v="50"/>
    <s v="4BJT42016557"/>
    <d v="2015-01-07T02:26:38"/>
    <d v="2015-01-13T00:00:00"/>
    <d v="2015-01-09T06:25:27"/>
    <d v="2015-01-07T15:15:00"/>
    <d v="2015-01-07T20:43:09"/>
    <d v="2015-01-09T04:30:19"/>
    <n v="37.255277777847368"/>
    <n v="51.980277777824085"/>
    <x v="0"/>
    <n v="12.806111111131031"/>
    <n v="1.9188888888456859"/>
    <x v="0"/>
    <m/>
    <m/>
    <x v="0"/>
    <x v="0"/>
    <n v="1"/>
    <m/>
  </r>
  <r>
    <s v="TSG_MLDL_PF"/>
    <n v="313887674"/>
    <n v="1115295275"/>
    <s v="719064-B21 #AKM"/>
    <s v="HP DL380 Gen9 8SFF CTO Server"/>
    <n v="2"/>
    <s v="4BJT42014785"/>
    <d v="2015-01-06T19:58:29"/>
    <d v="2015-01-12T00:00:00"/>
    <d v="2015-01-08T17:29:15"/>
    <d v="2015-01-07T09:17:00"/>
    <d v="2015-01-07T15:50:33"/>
    <d v="2015-01-08T15:21:36"/>
    <n v="30.07666666660225"/>
    <n v="45.51277777767973"/>
    <x v="0"/>
    <n v="13.308611111075152"/>
    <n v="2.1275000000023283"/>
    <x v="0"/>
    <m/>
    <m/>
    <x v="0"/>
    <x v="0"/>
    <n v="1"/>
    <m/>
  </r>
  <r>
    <s v="TSG_BLD_PF"/>
    <n v="313887564"/>
    <n v="1115300538"/>
    <s v="735151-B21"/>
    <s v="HP BL460c Gen8 E5-v2 10/20Gb CTO Blade"/>
    <n v="3"/>
    <s v="4BJT42014783"/>
    <d v="2015-01-06T19:57:31"/>
    <d v="2015-01-12T00:00:00"/>
    <d v="2015-01-08T10:50:05"/>
    <d v="2015-01-07T13:07:00"/>
    <d v="2015-01-07T15:44:44"/>
    <d v="2015-01-08T09:22:40"/>
    <n v="20.261111111089122"/>
    <n v="38.876111111138016"/>
    <x v="0"/>
    <n v="17.158055555541068"/>
    <n v="1.4569444445078261"/>
    <x v="0"/>
    <m/>
    <m/>
    <x v="0"/>
    <x v="0"/>
    <n v="1"/>
    <m/>
  </r>
  <r>
    <s v="TSG_MLDL_PF"/>
    <n v="313886040"/>
    <n v="1115292291"/>
    <s v="719064-B21 #AKM"/>
    <s v="HP DL380 Gen9 8SFF CTO Server"/>
    <n v="1"/>
    <s v="4BJT42014777"/>
    <d v="2015-01-06T19:58:29"/>
    <d v="2015-01-12T00:00:00"/>
    <d v="2015-01-08T15:22:16"/>
    <d v="2015-01-07T09:17:00"/>
    <d v="2015-01-07T16:11:46"/>
    <d v="2015-01-08T13:43:35"/>
    <n v="28.443055555515457"/>
    <n v="43.396388888766523"/>
    <x v="0"/>
    <n v="13.308611111075152"/>
    <n v="1.6447222221759148"/>
    <x v="0"/>
    <m/>
    <m/>
    <x v="0"/>
    <x v="0"/>
    <n v="1"/>
    <m/>
  </r>
  <r>
    <s v="TSG_MLDL_PF"/>
    <n v="313886216"/>
    <n v="1115291596"/>
    <s v="755258-B21 #AKM"/>
    <s v="HP DL360 Gen9 8SFF CTO Server"/>
    <n v="10"/>
    <s v="4BJT42014046"/>
    <d v="2015-01-06T17:33:20"/>
    <d v="2015-01-09T00:00:00"/>
    <d v="2015-01-08T15:22:16"/>
    <d v="2015-01-07T09:17:00"/>
    <d v="2015-01-07T13:10:52"/>
    <d v="2015-01-08T12:54:54"/>
    <n v="27.631666666595265"/>
    <n v="45.815555555513129"/>
    <x v="0"/>
    <n v="15.727777777821757"/>
    <n v="2.4561111110961065"/>
    <x v="0"/>
    <m/>
    <m/>
    <x v="0"/>
    <x v="0"/>
    <n v="1"/>
    <m/>
  </r>
  <r>
    <s v="TSG_MLDL_PF"/>
    <n v="313887564"/>
    <n v="1115300539"/>
    <s v="E7W82A"/>
    <s v="HP StoreEasy 1640 16TB SAS Storage"/>
    <n v="1"/>
    <s v="4BJT42013698"/>
    <d v="2015-01-07T13:58:50"/>
    <d v="2015-01-12T00:00:00"/>
    <d v="2015-01-09T04:02:18"/>
    <d v="2015-01-07T22:06:00"/>
    <d v="2015-01-08T10:23:54"/>
    <d v="2015-01-09T01:44:00"/>
    <n v="27.633333333476912"/>
    <n v="38.05777777772164"/>
    <x v="0"/>
    <n v="8.1194444443099201"/>
    <n v="2.3049999999348074"/>
    <x v="0"/>
    <m/>
    <m/>
    <x v="0"/>
    <x v="0"/>
    <n v="1"/>
    <m/>
  </r>
  <r>
    <s v="TSG_MLDL_PF"/>
    <n v="313885092"/>
    <n v="1115291294"/>
    <s v="653200-B21 #AKM"/>
    <s v="HP DL380p Gen8 8-SFF CTO Server"/>
    <n v="4"/>
    <s v="4BJT42012525"/>
    <d v="2015-01-06T11:57:10"/>
    <d v="2015-01-12T00:00:00"/>
    <d v="2015-01-09T08:43:22"/>
    <d v="2015-01-07T09:17:00"/>
    <d v="2015-01-07T11:40:26"/>
    <d v="2015-01-09T04:51:10"/>
    <n v="43.569444444437977"/>
    <n v="68.770000000018626"/>
    <x v="1"/>
    <n v="21.330555555643514"/>
    <n v="3.8699999999371357"/>
    <x v="1"/>
    <s v="operator"/>
    <s v="Line"/>
    <x v="10"/>
    <x v="10"/>
    <n v="1"/>
    <s v="short 715826-002+6CU50260H3：老化 load test offline时间超过12小时"/>
  </r>
  <r>
    <s v="TSG_MLDL_PF"/>
    <n v="313859453"/>
    <n v="1115256936"/>
    <s v="728551-B21 #AKM"/>
    <s v="HP DL580 Gen8 CTO Svr"/>
    <n v="2"/>
    <s v="4BJT42012172"/>
    <d v="2015-01-06T10:30:17"/>
    <d v="2015-01-09T00:00:00"/>
    <d v="2015-01-07T17:02:52"/>
    <d v="2015-01-06T21:30:00"/>
    <d v="2015-01-07T02:00:08"/>
    <d v="2015-01-07T15:28:40"/>
    <n v="17.977777777647134"/>
    <n v="30.543055555550382"/>
    <x v="0"/>
    <n v="10.995277777779847"/>
    <n v="1.5700000001234002"/>
    <x v="0"/>
    <m/>
    <m/>
    <x v="0"/>
    <x v="0"/>
    <n v="1"/>
    <m/>
  </r>
  <r>
    <s v="TSG_BCS_PF"/>
    <n v="313866014"/>
    <n v="1115237309"/>
    <s v="AM451A"/>
    <s v="HP ProLiant DL980 G7 CTO system-E7 proc"/>
    <n v="1"/>
    <s v="4BJT42012143"/>
    <d v="2015-01-06T10:20:17"/>
    <d v="2015-01-13T00:00:00"/>
    <d v="2015-01-08T06:15:07"/>
    <d v="2015-01-06T21:30:00"/>
    <d v="2015-01-06T23:41:53"/>
    <d v="2015-01-08T03:36:03"/>
    <n v="30.100833333330229"/>
    <n v="43.913888888899237"/>
    <x v="0"/>
    <n v="11.161944444465917"/>
    <n v="2.6511111111030914"/>
    <x v="0"/>
    <m/>
    <m/>
    <x v="0"/>
    <x v="0"/>
    <n v="1"/>
    <s v="solconfig issue 报错932001 2015/1/7 (周三) 6:39"/>
  </r>
  <r>
    <s v="TSG_BCS_PF"/>
    <n v="313866011"/>
    <n v="1115263066"/>
    <s v="AM451A"/>
    <s v="HP ProLiant DL980 G7 CTO system-E7 proc"/>
    <n v="1"/>
    <s v="4BJT42012141"/>
    <d v="2015-01-06T10:12:09"/>
    <d v="2015-01-13T00:00:00"/>
    <d v="2015-01-08T06:15:05"/>
    <d v="2015-01-06T21:30:00"/>
    <d v="2015-01-07T00:58:40"/>
    <d v="2015-01-08T03:36:39"/>
    <n v="30.110833333223127"/>
    <n v="44.048888888850342"/>
    <x v="0"/>
    <n v="11.297500000102445"/>
    <n v="2.6405555555247702"/>
    <x v="0"/>
    <m/>
    <m/>
    <x v="0"/>
    <x v="0"/>
    <n v="1"/>
    <s v="solconfig issue 报错932001 2015/1/7 (周三) 6:39"/>
  </r>
  <r>
    <s v="TSG_BCS_PF"/>
    <n v="313863712"/>
    <n v="1115252968"/>
    <s v="AM451A"/>
    <s v="HP ProLiant DL980 G7 CTO system-E7 proc"/>
    <n v="1"/>
    <s v="4BJT42012140"/>
    <d v="2015-01-06T10:12:10"/>
    <d v="2015-01-13T00:00:00"/>
    <d v="2015-01-08T18:48:13"/>
    <d v="2015-01-06T21:30:00"/>
    <d v="2015-01-07T01:05:08"/>
    <d v="2015-01-08T16:56:30"/>
    <n v="43.441666666651145"/>
    <n v="56.600833333272021"/>
    <x v="0"/>
    <n v="11.297222222259734"/>
    <n v="1.8619444443611428"/>
    <x v="0"/>
    <m/>
    <m/>
    <x v="0"/>
    <x v="0"/>
    <n v="1"/>
    <s v="solconfig issue 报错932001 2015/1/7 (周三) 6:39"/>
  </r>
  <r>
    <s v="TSG_BCS_PF"/>
    <n v="313862353"/>
    <n v="1115249884"/>
    <s v="AM451A"/>
    <s v="HP ProLiant DL980 G7 CTO system-E7 proc"/>
    <n v="1"/>
    <s v="4BJT42012077"/>
    <d v="2015-01-06T10:10:08"/>
    <d v="2015-01-13T00:00:00"/>
    <d v="2015-01-09T06:41:21"/>
    <d v="2015-01-06T21:30:00"/>
    <d v="2015-01-07T00:21:42"/>
    <d v="2015-01-09T03:06:06"/>
    <n v="53.601666666625533"/>
    <n v="68.520277777744923"/>
    <x v="0"/>
    <n v="11.331111111212522"/>
    <n v="3.5874999999068677"/>
    <x v="0"/>
    <m/>
    <m/>
    <x v="0"/>
    <x v="0"/>
    <n v="1"/>
    <s v="solconfig issue 报错932001 2015/1/7 (周三) 6:39"/>
  </r>
  <r>
    <s v="TSG_BCS_PF"/>
    <n v="313862352"/>
    <n v="1115262266"/>
    <s v="AM451A"/>
    <s v="HP ProLiant DL980 G7 CTO system-E7 proc"/>
    <n v="1"/>
    <s v="4BJT42012066"/>
    <d v="2015-01-06T10:08:22"/>
    <d v="2015-01-13T00:00:00"/>
    <d v="2015-01-08T06:15:05"/>
    <d v="2015-01-06T21:30:00"/>
    <d v="2015-01-07T00:16:14"/>
    <d v="2015-01-08T03:36:22"/>
    <n v="30.10611111111939"/>
    <n v="44.111944444302935"/>
    <x v="0"/>
    <n v="11.360555555555038"/>
    <n v="2.6452777776285075"/>
    <x v="0"/>
    <m/>
    <m/>
    <x v="0"/>
    <x v="0"/>
    <n v="1"/>
    <s v="solconfig issue 报错932001 2015/1/7 (周三) 6:39"/>
  </r>
  <r>
    <s v="TSG_BCS_PF"/>
    <n v="313862254"/>
    <n v="1115254477"/>
    <s v="AM451A"/>
    <s v="HP ProLiant DL980 G7 CTO system-E7 proc"/>
    <n v="1"/>
    <s v="4BJT42012065"/>
    <d v="2015-01-06T10:08:09"/>
    <d v="2015-01-13T00:00:00"/>
    <d v="2015-01-08T06:15:04"/>
    <d v="2015-01-06T21:30:00"/>
    <d v="2015-01-07T01:24:04"/>
    <d v="2015-01-08T03:35:35"/>
    <n v="30.093055555480532"/>
    <n v="44.115277777891606"/>
    <x v="0"/>
    <n v="11.364166666811798"/>
    <n v="2.658055555599276"/>
    <x v="0"/>
    <m/>
    <m/>
    <x v="0"/>
    <x v="0"/>
    <n v="1"/>
    <s v="solconfig issue 报错932001 2015/1/7 (周三) 6:39"/>
  </r>
  <r>
    <s v="TSG_BCS_PF"/>
    <n v="313862253"/>
    <n v="1115261399"/>
    <s v="AM451A"/>
    <s v="HP ProLiant DL980 G7 CTO system-E7 proc"/>
    <n v="1"/>
    <s v="4BJT42012064"/>
    <d v="2015-01-06T10:07:09"/>
    <d v="2015-01-13T00:00:00"/>
    <d v="2015-01-08T21:43:15"/>
    <d v="2015-01-06T21:30:00"/>
    <d v="2015-01-07T00:52:07"/>
    <d v="2015-01-08T18:48:26"/>
    <n v="45.307222222094424"/>
    <n v="59.601666666625533"/>
    <x v="0"/>
    <n v="11.380833333358169"/>
    <n v="2.9136111111729406"/>
    <x v="0"/>
    <m/>
    <m/>
    <x v="0"/>
    <x v="0"/>
    <n v="1"/>
    <s v="solconfig issue 报错932001 2015/1/7 (周三) 6:39"/>
  </r>
  <r>
    <s v="TSG_BCS_PF"/>
    <n v="313862252"/>
    <n v="1115262736"/>
    <s v="AM451A"/>
    <s v="HP ProLiant DL980 G7 CTO system-E7 proc"/>
    <n v="1"/>
    <s v="4BJT42012061"/>
    <d v="2015-01-06T10:05:09"/>
    <d v="2015-01-13T00:00:00"/>
    <d v="2015-01-08T18:48:13"/>
    <d v="2015-01-06T21:30:00"/>
    <d v="2015-01-07T01:19:09"/>
    <d v="2015-01-08T16:55:53"/>
    <n v="43.431388888915535"/>
    <n v="56.717777777812444"/>
    <x v="0"/>
    <n v="11.414166666800156"/>
    <n v="1.8722222220967524"/>
    <x v="0"/>
    <m/>
    <m/>
    <x v="0"/>
    <x v="0"/>
    <n v="1"/>
    <s v="solconfig issue 报错932001 2015/1/7 (周三) 6:39"/>
  </r>
  <r>
    <s v="TSG_BCS_PF"/>
    <n v="313856979"/>
    <n v="1115262005"/>
    <s v="AM451A"/>
    <s v="HP ProLiant DL980 G7 CTO system-E7 proc"/>
    <n v="1"/>
    <s v="4BJT42012060"/>
    <d v="2015-01-06T10:04:16"/>
    <d v="2015-01-13T00:00:00"/>
    <d v="2015-01-08T06:15:04"/>
    <d v="2015-01-06T21:30:00"/>
    <d v="2015-01-07T00:15:29"/>
    <d v="2015-01-08T03:53:45"/>
    <n v="30.395833333313931"/>
    <n v="44.180000000051223"/>
    <x v="0"/>
    <n v="11.428888888971414"/>
    <n v="2.3552777777658775"/>
    <x v="0"/>
    <m/>
    <m/>
    <x v="0"/>
    <x v="0"/>
    <n v="1"/>
    <s v="solconfig issue 报错932001 2015/1/7 (周三) 6:39"/>
  </r>
  <r>
    <s v="TSG_MLDL_PF"/>
    <n v="313867529"/>
    <n v="1115264885"/>
    <s v="E7W71A"/>
    <s v="HP StoreEasy 1440 4TB SATA Storage"/>
    <n v="1"/>
    <s v="4BJT42007728"/>
    <d v="2015-01-05T12:48:56"/>
    <d v="2015-01-08T00:00:00"/>
    <d v="2015-01-07T04:21:43"/>
    <d v="2015-01-06T07:00:00"/>
    <d v="2015-01-06T12:45:55"/>
    <d v="2015-01-07T00:53:30"/>
    <n v="17.891666666662786"/>
    <n v="39.546388888964429"/>
    <x v="0"/>
    <n v="18.184444444428664"/>
    <n v="3.4702777778729796"/>
    <x v="0"/>
    <m/>
    <m/>
    <x v="0"/>
    <x v="0"/>
    <n v="1"/>
    <m/>
  </r>
  <r>
    <s v="TSG_MLDL_PF"/>
    <n v="313881695"/>
    <n v="1115287534"/>
    <s v="654081-B21 #AKM"/>
    <s v="HP DL360p Gen8 8-SFF CTO Server"/>
    <n v="4"/>
    <s v="4BJT42002801"/>
    <d v="2015-01-04T01:47:30"/>
    <d v="2015-01-08T00:00:00"/>
    <d v="2015-01-06T16:26:50"/>
    <d v="2015-01-05T10:52:00"/>
    <d v="2015-01-05T20:45:44"/>
    <d v="2015-01-06T14:48:55"/>
    <n v="27.948611111089122"/>
    <n v="62.65555555553874"/>
    <x v="2"/>
    <n v="33.074999999895226"/>
    <n v="1.6319444445543922"/>
    <x v="2"/>
    <s v="Special"/>
    <s v="Others"/>
    <x v="2"/>
    <x v="2"/>
    <n v="1"/>
    <m/>
  </r>
  <r>
    <s v="TSG_MLDL_PF"/>
    <n v="313848321"/>
    <n v="1115304010"/>
    <s v="728551-B21 #AKM"/>
    <s v="HP DL580 Gen8 CTO Svr"/>
    <n v="25"/>
    <s v="4BJT42002744"/>
    <d v="2015-01-08T00:55:55"/>
    <d v="2015-01-14T00:00:00"/>
    <d v="2015-01-10T19:32:48"/>
    <d v="2015-01-08T20:45:00"/>
    <d v="2015-01-09T00:47:37"/>
    <d v="2015-01-10T16:44:20"/>
    <n v="43.988888888794463"/>
    <n v="66.614722222380806"/>
    <x v="1"/>
    <n v="19.81805555569008"/>
    <n v="2.8077777778962627"/>
    <x v="1"/>
    <s v="rework"/>
    <s v="Line"/>
    <x v="9"/>
    <x v="9"/>
    <n v="1"/>
    <s v="short 732411-b21@@+6CU50263JW：pre-test报错网口灯不亮，更换网卡，又在老化报内存错误，更换内存盒后重测pass"/>
  </r>
  <r>
    <s v="TSG_MLDL_PF"/>
    <n v="313883711"/>
    <n v="1115288451"/>
    <s v="703586-B21 #AKM"/>
    <s v="HP DL580R07 CN CTO Server"/>
    <n v="1"/>
    <s v="4BJT41987101"/>
    <d v="2014-12-31T17:55:36"/>
    <d v="2015-01-07T00:00:00"/>
    <d v="2015-01-06T18:50:44"/>
    <d v="2015-01-05T08:30:00"/>
    <d v="2015-01-05T15:06:39"/>
    <d v="2015-01-06T09:42:57"/>
    <n v="25.215833333437331"/>
    <n v="144.91888888890389"/>
    <x v="2"/>
    <n v="110.57333333330462"/>
    <n v="9.129722222161945"/>
    <x v="3"/>
    <s v="PGI"/>
    <s v="WH"/>
    <x v="3"/>
    <x v="3"/>
    <n v="1"/>
    <m/>
  </r>
  <r>
    <s v="TSG_MLDL_PF"/>
    <n v="313883711"/>
    <n v="1115288449"/>
    <s v="653200-B21 #AKM"/>
    <s v="HP DL380p Gen8 8-SFF CTO Server"/>
    <n v="4"/>
    <s v="4BJT41987101"/>
    <d v="2014-12-31T17:56:35"/>
    <d v="2015-01-07T00:00:00"/>
    <d v="2015-01-06T18:50:44"/>
    <d v="2015-01-05T08:30:00"/>
    <d v="2015-01-05T15:12:18"/>
    <d v="2015-01-06T14:49:19"/>
    <n v="30.321944444440305"/>
    <n v="144.90250000002561"/>
    <x v="2"/>
    <n v="110.55694444442634"/>
    <n v="4.0236111111589707"/>
    <x v="3"/>
    <s v="PGI"/>
    <s v="WH"/>
    <x v="3"/>
    <x v="3"/>
    <n v="1"/>
    <m/>
  </r>
  <r>
    <s v="TSG_OEM_PF_MLDL"/>
    <n v="313883711"/>
    <n v="1115288450"/>
    <s v="691649-B21 #AKM"/>
    <s v="HP OEM DL360p Gen8 8-SFF CTO Server"/>
    <n v="3"/>
    <s v="4BJT41987101"/>
    <d v="2014-12-31T17:56:35"/>
    <d v="2015-01-07T00:00:00"/>
    <d v="2015-01-06T18:50:44"/>
    <d v="2015-01-05T08:30:00"/>
    <d v="2015-01-05T14:03:23"/>
    <d v="2015-01-06T17:49:27"/>
    <n v="33.32416666665813"/>
    <n v="144.90250000002561"/>
    <x v="2"/>
    <n v="110.55694444442634"/>
    <n v="1.0213888889411464"/>
    <x v="2"/>
    <s v="Special"/>
    <s v="Others"/>
    <x v="2"/>
    <x v="2"/>
    <n v="1"/>
    <m/>
  </r>
  <r>
    <s v="TSG_MLDL_PF"/>
    <n v="313880989"/>
    <n v="1115286969"/>
    <s v="653200-B21 #AKM"/>
    <s v="HP DL380p Gen8 8-SFF CTO Server"/>
    <n v="11"/>
    <s v="4BJT41985715"/>
    <d v="2014-12-31T13:16:35"/>
    <d v="2015-01-07T00:00:00"/>
    <d v="2015-01-06T04:51:28"/>
    <d v="2015-01-01T01:14:00"/>
    <d v="2015-01-01T04:36:38"/>
    <d v="2015-01-06T02:57:36"/>
    <n v="121.72666666674195"/>
    <n v="135.58138888893882"/>
    <x v="0"/>
    <n v="11.956944444507826"/>
    <n v="1.8977777776890434"/>
    <x v="0"/>
    <m/>
    <m/>
    <x v="0"/>
    <x v="0"/>
    <n v="1"/>
    <s v="元旦休息1号到4号"/>
  </r>
  <r>
    <s v="TSG_MLDL_PF"/>
    <n v="313880989"/>
    <n v="1115286970"/>
    <s v="653200-B21 #AKM"/>
    <s v="HP DL380p Gen8 8-SFF CTO Server"/>
    <n v="8"/>
    <s v="4BJT41985715"/>
    <d v="2014-12-31T13:16:34"/>
    <d v="2015-01-07T00:00:00"/>
    <d v="2015-01-06T04:51:28"/>
    <d v="2015-01-01T01:14:00"/>
    <d v="2015-01-01T04:05:49"/>
    <d v="2015-01-06T02:11:07"/>
    <n v="120.95194444450317"/>
    <n v="135.58166666660691"/>
    <x v="0"/>
    <n v="11.957222222175915"/>
    <n v="2.6724999999278225"/>
    <x v="0"/>
    <m/>
    <m/>
    <x v="0"/>
    <x v="0"/>
    <n v="1"/>
    <s v="元旦休息1号到4号"/>
  </r>
  <r>
    <s v="TSG_MLDL_PF"/>
    <n v="313880180"/>
    <n v="1115283609"/>
    <s v="653200-B21 #AKM"/>
    <s v="HP DL380p Gen8 8-SFF CTO Server"/>
    <n v="2"/>
    <s v="4BJT41984656"/>
    <d v="2014-12-31T09:36:31"/>
    <d v="2015-01-07T00:00:00"/>
    <d v="2015-01-06T18:50:44"/>
    <d v="2014-12-31T16:23:00"/>
    <d v="2014-12-31T21:15:19"/>
    <d v="2015-01-05T12:58:02"/>
    <n v="116.58388888888294"/>
    <n v="153.23694444447756"/>
    <x v="0"/>
    <n v="6.7747222222387791"/>
    <n v="29.87833333335584"/>
    <x v="0"/>
    <m/>
    <m/>
    <x v="0"/>
    <x v="0"/>
    <n v="1"/>
    <s v="元旦休息1号到4号"/>
  </r>
  <r>
    <s v="TSG_MLDL_PF"/>
    <n v="313880180"/>
    <n v="1115283610"/>
    <s v="653200-B21 #AKM"/>
    <s v="HP DL380p Gen8 8-SFF CTO Server"/>
    <n v="1"/>
    <s v="4BJT41984656"/>
    <d v="2014-12-31T09:36:30"/>
    <d v="2015-01-07T00:00:00"/>
    <d v="2015-01-06T18:50:44"/>
    <d v="2015-01-01T01:14:00"/>
    <d v="2015-01-01T04:34:05"/>
    <d v="2015-01-05T09:58:39"/>
    <n v="104.74416666658362"/>
    <n v="153.23722222214565"/>
    <x v="0"/>
    <n v="15.624999999941792"/>
    <n v="32.868055555620231"/>
    <x v="0"/>
    <m/>
    <m/>
    <x v="0"/>
    <x v="0"/>
    <n v="1"/>
    <s v="元旦休息1号到4号"/>
  </r>
  <r>
    <s v="TSG_MLDL_PF"/>
    <n v="313880180"/>
    <n v="1115283611"/>
    <s v="653200-B21 #AKM"/>
    <s v="HP DL380p Gen8 8-SFF CTO Server"/>
    <n v="24"/>
    <s v="4BJT41984656"/>
    <d v="2014-12-31T09:39:27"/>
    <d v="2015-01-07T00:00:00"/>
    <d v="2015-01-06T18:50:44"/>
    <d v="2014-12-31T16:23:00"/>
    <d v="2014-12-31T21:26:29"/>
    <d v="2015-01-06T17:10:35"/>
    <n v="144.7930555556668"/>
    <n v="153.1880555555108"/>
    <x v="0"/>
    <n v="6.7258333332720213"/>
    <n v="1.6691666665719822"/>
    <x v="0"/>
    <m/>
    <m/>
    <x v="0"/>
    <x v="0"/>
    <n v="1"/>
    <s v="元旦休息1号到4号"/>
  </r>
  <r>
    <s v="TSG_MLDL_PF"/>
    <n v="313884333"/>
    <n v="1115289645"/>
    <s v="755258-B21 #AKM"/>
    <s v="HP DL360 Gen9 8SFF CTO Server"/>
    <n v="1"/>
    <s v="4BJT41981419"/>
    <d v="2014-12-30T18:48:10"/>
    <d v="2015-01-06T00:00:00"/>
    <d v="2015-01-05T08:28:11"/>
    <d v="2014-12-31T12:59:00"/>
    <d v="2014-12-31T15:20:52"/>
    <d v="2015-01-01T08:25:16"/>
    <n v="19.437777777726296"/>
    <n v="133.66694444452878"/>
    <x v="2"/>
    <n v="18.180555555678438"/>
    <n v="96.048611111124046"/>
    <x v="3"/>
    <s v="PGI"/>
    <s v="WH"/>
    <x v="3"/>
    <x v="3"/>
    <n v="1"/>
    <m/>
  </r>
  <r>
    <s v="TSG_MLDL_PF"/>
    <n v="313880397"/>
    <n v="1115285512"/>
    <s v="654081-B21 #AKM"/>
    <s v="HP DL360p Gen8 8-SFF CTO Server"/>
    <n v="1"/>
    <s v="4BJT41981391"/>
    <d v="2014-12-30T18:47:11"/>
    <d v="2015-01-06T00:00:00"/>
    <d v="2015-01-05T18:18:19"/>
    <d v="2014-12-31T12:59:00"/>
    <d v="2014-12-31T15:45:01"/>
    <d v="2015-01-05T13:47:57"/>
    <n v="120.81583333335584"/>
    <n v="143.51888888888061"/>
    <x v="0"/>
    <n v="18.196944444556721"/>
    <n v="4.5061111109680496"/>
    <x v="0"/>
    <m/>
    <m/>
    <x v="0"/>
    <x v="0"/>
    <n v="1"/>
    <s v="元旦休息1号到4号"/>
  </r>
  <r>
    <s v="TSG_MLDL_PF"/>
    <n v="313872859"/>
    <n v="1115273685"/>
    <s v="719064-B21 #AKM"/>
    <s v="HP DL380 Gen9 8SFF CTO Server"/>
    <n v="2"/>
    <s v="4BJT41980829"/>
    <d v="2014-12-30T17:14:10"/>
    <d v="2015-01-07T00:00:00"/>
    <d v="2015-01-06T09:15:30"/>
    <d v="2014-12-31T12:59:00"/>
    <d v="2014-12-31T15:17:58"/>
    <d v="2015-01-05T09:38:21"/>
    <n v="116.65583333320683"/>
    <n v="160.02222222212004"/>
    <x v="0"/>
    <n v="19.747222222213168"/>
    <n v="23.619166666700039"/>
    <x v="0"/>
    <m/>
    <m/>
    <x v="0"/>
    <x v="0"/>
    <n v="1"/>
    <s v="元旦休息1号到4号"/>
  </r>
  <r>
    <s v="TSG_MLDL_PF"/>
    <n v="313872859"/>
    <n v="1115273686"/>
    <s v="719064-B21 #AKM"/>
    <s v="HP DL380 Gen9 8SFF CTO Server"/>
    <n v="1"/>
    <s v="4BJT41980829"/>
    <d v="2014-12-30T17:14:10"/>
    <d v="2015-01-07T00:00:00"/>
    <d v="2015-01-06T09:15:30"/>
    <d v="2014-12-31T12:59:00"/>
    <d v="2014-12-31T15:13:52"/>
    <d v="2015-01-05T13:49:09"/>
    <n v="120.83583333331626"/>
    <n v="160.02222222212004"/>
    <x v="0"/>
    <n v="19.747222222213168"/>
    <n v="19.439166666590609"/>
    <x v="0"/>
    <m/>
    <m/>
    <x v="0"/>
    <x v="0"/>
    <n v="1"/>
    <s v="元旦休息1号到4号"/>
  </r>
  <r>
    <s v="TSG_MLDL_PF"/>
    <n v="313872859"/>
    <n v="1115273687"/>
    <s v="728551-B21 #AKM"/>
    <s v="HP DL580 Gen8 CTO Svr"/>
    <n v="1"/>
    <s v="4BJT41980829"/>
    <d v="2014-12-30T17:14:10"/>
    <d v="2015-01-07T00:00:00"/>
    <d v="2015-01-06T09:15:30"/>
    <d v="2014-12-31T20:47:00"/>
    <d v="2014-12-31T23:39:26"/>
    <d v="2015-01-06T06:47:14"/>
    <n v="130.00388888886664"/>
    <n v="160.02222222212004"/>
    <x v="0"/>
    <n v="27.547222222143319"/>
    <n v="2.4711111111100763"/>
    <x v="0"/>
    <m/>
    <m/>
    <x v="0"/>
    <x v="0"/>
    <n v="1"/>
    <s v="short 732411-b21@@+元旦休息1号到4号"/>
  </r>
  <r>
    <s v="TSG_MLDL_PF"/>
    <n v="313861953"/>
    <n v="1115258099"/>
    <s v="686792-B21 #AKM"/>
    <s v="HP DL560 Gen8 CTO Server"/>
    <n v="2"/>
    <s v="4BJT41980828"/>
    <d v="2014-12-30T17:14:10"/>
    <d v="2015-01-06T00:00:00"/>
    <d v="2015-01-05T08:28:12"/>
    <d v="2014-12-31T12:59:00"/>
    <d v="2014-12-31T15:26:25"/>
    <d v="2015-01-01T07:45:32"/>
    <n v="18.775555555417668"/>
    <n v="135.2338888887316"/>
    <x v="2"/>
    <n v="19.747222222213168"/>
    <n v="96.711111111100763"/>
    <x v="3"/>
    <s v="PGI"/>
    <s v="WH"/>
    <x v="3"/>
    <x v="3"/>
    <n v="1"/>
    <m/>
  </r>
  <r>
    <s v="TSG_MLDL_PF"/>
    <n v="313881695"/>
    <n v="1115287532"/>
    <s v="654081-B21 #AKM"/>
    <s v="HP DL360p Gen8 8-SFF CTO Server"/>
    <n v="13"/>
    <s v="4BJT41980454"/>
    <d v="2014-12-30T15:52:08"/>
    <d v="2015-01-06T00:00:00"/>
    <d v="2015-01-05T08:43:13"/>
    <d v="2014-12-31T12:30:00"/>
    <d v="2014-12-31T04:19:38"/>
    <d v="2015-01-01T01:00:18"/>
    <n v="12.505000000004657"/>
    <n v="136.85138888878282"/>
    <x v="2"/>
    <n v="20.631111111142673"/>
    <n v="103.71527777763549"/>
    <x v="3"/>
    <s v="PGI"/>
    <s v="WH"/>
    <x v="3"/>
    <x v="3"/>
    <n v="1"/>
    <m/>
  </r>
  <r>
    <s v="TSG_MLDL_PF"/>
    <n v="313881695"/>
    <n v="1115287529"/>
    <s v="653200-B21 #AKM"/>
    <s v="HP DL380p Gen8 8-SFF CTO Server"/>
    <n v="2"/>
    <s v="4BJT41980453"/>
    <d v="2014-12-30T15:51:09"/>
    <d v="2015-01-06T00:00:00"/>
    <d v="2015-01-05T08:43:13"/>
    <d v="2014-12-31T12:30:00"/>
    <d v="2014-12-31T04:51:34"/>
    <d v="2014-12-31T18:54:54"/>
    <n v="6.4149999999208376"/>
    <n v="136.8677777776611"/>
    <x v="2"/>
    <n v="20.647500000020955"/>
    <n v="109.80527777771931"/>
    <x v="3"/>
    <s v="PGI"/>
    <s v="WH"/>
    <x v="3"/>
    <x v="3"/>
    <n v="1"/>
    <m/>
  </r>
  <r>
    <s v="TSG_MLDL_PF"/>
    <n v="313881695"/>
    <n v="1115287530"/>
    <s v="654081-B21 #AKM"/>
    <s v="HP DL360p Gen8 8-SFF CTO Server"/>
    <n v="4"/>
    <s v="4BJT41980453"/>
    <d v="2014-12-30T15:51:09"/>
    <d v="2015-01-06T00:00:00"/>
    <d v="2015-01-05T08:43:13"/>
    <d v="2014-12-31T12:30:00"/>
    <d v="2014-12-31T05:02:03"/>
    <d v="2014-12-31T21:32:23"/>
    <n v="9.0397222220781259"/>
    <n v="136.8677777776611"/>
    <x v="2"/>
    <n v="20.647500000020955"/>
    <n v="107.18055555556202"/>
    <x v="3"/>
    <s v="PGI"/>
    <s v="WH"/>
    <x v="3"/>
    <x v="3"/>
    <n v="1"/>
    <m/>
  </r>
  <r>
    <s v="TSG_MLDL_PF"/>
    <n v="313881695"/>
    <n v="1115287531"/>
    <s v="655651-B21 #AKM"/>
    <s v="HP DL360p Gen8 4-LFF CTO Server"/>
    <n v="4"/>
    <s v="4BJT41980453"/>
    <d v="2014-12-30T15:51:09"/>
    <d v="2015-01-06T00:00:00"/>
    <d v="2015-01-05T08:43:13"/>
    <d v="2014-12-31T12:30:00"/>
    <d v="2014-12-31T04:09:35"/>
    <d v="2015-01-01T00:15:18"/>
    <n v="11.755000000004657"/>
    <n v="136.8677777776611"/>
    <x v="2"/>
    <n v="20.647500000020955"/>
    <n v="104.46527777763549"/>
    <x v="3"/>
    <s v="PGI"/>
    <s v="WH"/>
    <x v="3"/>
    <x v="3"/>
    <n v="1"/>
    <m/>
  </r>
  <r>
    <s v="TSG_MLDL_PF"/>
    <n v="313881695"/>
    <n v="1115287528"/>
    <s v="653200-B21 #AKM"/>
    <s v="HP DL380p Gen8 8-SFF CTO Server"/>
    <n v="3"/>
    <s v="4BJT41980453"/>
    <d v="2014-12-30T15:51:10"/>
    <d v="2015-01-06T00:00:00"/>
    <d v="2015-01-05T08:43:13"/>
    <d v="2014-12-31T12:30:00"/>
    <d v="2014-12-31T04:45:10"/>
    <d v="2014-12-31T22:18:37"/>
    <n v="9.810277777723968"/>
    <n v="136.86749999999302"/>
    <x v="2"/>
    <n v="20.647222222352866"/>
    <n v="106.40999999991618"/>
    <x v="3"/>
    <s v="PGI"/>
    <s v="WH"/>
    <x v="3"/>
    <x v="3"/>
    <n v="1"/>
    <m/>
  </r>
  <r>
    <s v="TSG_MLDL_PF"/>
    <n v="313867692"/>
    <n v="1115272575"/>
    <s v="653200-B21 #AKM"/>
    <s v="HP DL380p Gen8 8-SFF CTO Server"/>
    <n v="2"/>
    <s v="4BJT41980023"/>
    <d v="2014-12-30T14:34:08"/>
    <d v="2015-01-07T00:00:00"/>
    <d v="2015-01-05T12:43:18"/>
    <d v="2014-12-31T09:35:00"/>
    <d v="2014-12-31T14:18:31"/>
    <d v="2015-01-01T02:47:06"/>
    <n v="17.201666666718666"/>
    <n v="142.15277777781012"/>
    <x v="2"/>
    <n v="19.014444444444962"/>
    <n v="105.93666666664649"/>
    <x v="3"/>
    <s v="PGI"/>
    <s v="WH"/>
    <x v="3"/>
    <x v="3"/>
    <n v="1"/>
    <m/>
  </r>
  <r>
    <s v="TSG_MLDL_PF"/>
    <n v="313867692"/>
    <n v="1115272576"/>
    <s v="653200-B21 #AKM"/>
    <s v="HP DL380p Gen8 8-SFF CTO Server"/>
    <n v="5"/>
    <s v="4BJT41980023"/>
    <d v="2014-12-30T14:35:08"/>
    <d v="2015-01-07T00:00:00"/>
    <d v="2015-01-05T12:43:19"/>
    <d v="2014-12-31T09:35:00"/>
    <d v="2014-12-31T14:10:52"/>
    <d v="2015-01-05T10:11:01"/>
    <n v="120.60027777787764"/>
    <n v="142.13638888893183"/>
    <x v="0"/>
    <n v="18.997777777723968"/>
    <n v="2.5383333333302289"/>
    <x v="0"/>
    <m/>
    <m/>
    <x v="0"/>
    <x v="0"/>
    <n v="1"/>
    <s v="元旦休息1号到4号"/>
  </r>
  <r>
    <s v="TSG_MLDL_PF"/>
    <n v="313866806"/>
    <n v="1115265032"/>
    <s v="653200-B21 #AKM"/>
    <s v="HP DL380p Gen8 8-SFF CTO Server"/>
    <n v="6"/>
    <s v="4BJT41978463"/>
    <d v="2014-12-30T09:27:02"/>
    <d v="2015-01-06T00:00:00"/>
    <d v="2015-01-05T08:43:15"/>
    <d v="2014-12-31T06:47:00"/>
    <d v="2014-12-31T10:31:21"/>
    <d v="2015-01-01T03:58:45"/>
    <n v="21.195833333360497"/>
    <n v="143.27027777780313"/>
    <x v="2"/>
    <n v="21.332777777686715"/>
    <n v="100.74166666675592"/>
    <x v="3"/>
    <s v="PGI"/>
    <s v="WH"/>
    <x v="3"/>
    <x v="3"/>
    <n v="1"/>
    <m/>
  </r>
  <r>
    <s v="TSG_MLDL_PF"/>
    <n v="313848276"/>
    <n v="1115238105"/>
    <s v="653200-B21 #AKM"/>
    <s v="HP DL380p Gen8 8-SFF CTO Server"/>
    <n v="7"/>
    <s v="4BJT41978434"/>
    <d v="2014-12-30T09:22:01"/>
    <d v="2015-01-06T00:00:00"/>
    <d v="2015-01-05T08:43:15"/>
    <d v="2014-12-31T06:47:00"/>
    <d v="2014-12-31T10:50:10"/>
    <d v="2015-01-01T04:14:04"/>
    <n v="21.45111111109145"/>
    <n v="143.35388888890157"/>
    <x v="2"/>
    <n v="21.41638888878515"/>
    <n v="100.48638888902497"/>
    <x v="3"/>
    <s v="PGI"/>
    <s v="WH"/>
    <x v="3"/>
    <x v="3"/>
    <n v="1"/>
    <m/>
  </r>
  <r>
    <s v="TSG_MLDL_PF"/>
    <n v="313848120"/>
    <n v="1115291146"/>
    <s v="653200-B21 #AKM"/>
    <s v="HP DL380p Gen8 8-SFF CTO Server"/>
    <n v="7"/>
    <s v="4BJT41978433"/>
    <d v="2014-12-31T14:25:32"/>
    <d v="2015-01-07T00:00:00"/>
    <d v="2015-01-05T18:18:19"/>
    <d v="2015-01-01T02:04:00"/>
    <d v="2015-01-01T04:43:43"/>
    <d v="2015-01-05T13:56:40"/>
    <n v="107.87777777784504"/>
    <n v="123.87972222216194"/>
    <x v="0"/>
    <n v="11.641111111035571"/>
    <n v="4.3608333332813345"/>
    <x v="0"/>
    <m/>
    <m/>
    <x v="0"/>
    <x v="0"/>
    <n v="1"/>
    <s v="元旦休息1号到4号"/>
  </r>
  <r>
    <s v="TSG_MLDL_PF"/>
    <n v="313848120"/>
    <n v="1115291147"/>
    <s v="653200-B21 #AKM"/>
    <s v="HP DL380p Gen8 8-SFF CTO Server"/>
    <n v="3"/>
    <s v="4BJT41978433"/>
    <d v="2014-12-31T14:24:32"/>
    <d v="2015-01-07T00:00:00"/>
    <d v="2015-01-05T18:18:19"/>
    <d v="2015-01-01T02:04:00"/>
    <d v="2015-01-01T05:35:45"/>
    <d v="2015-01-05T16:12:12"/>
    <n v="110.13666666671634"/>
    <n v="123.89638888888294"/>
    <x v="0"/>
    <n v="11.657777777756564"/>
    <n v="2.1019444444100372"/>
    <x v="0"/>
    <m/>
    <m/>
    <x v="0"/>
    <x v="0"/>
    <n v="1"/>
    <s v="元旦休息1号到4号"/>
  </r>
  <r>
    <s v="TSG_BLD_PF"/>
    <n v="313880606"/>
    <n v="1115284147"/>
    <s v="679118-B21"/>
    <s v="HP BL660c Gen8 10/20Gb FLB CTO Blade"/>
    <n v="2"/>
    <s v="4BJT41977205"/>
    <d v="2014-12-30T02:03:56"/>
    <d v="2015-01-07T00:00:00"/>
    <d v="2015-01-06T00:05:24"/>
    <d v="2014-12-30T13:26:00"/>
    <d v="2014-12-30T13:37:43"/>
    <d v="2015-01-01T08:26:55"/>
    <n v="43.015277777798474"/>
    <n v="166.02444444451248"/>
    <x v="1"/>
    <n v="11.367777777719311"/>
    <n v="111.6413888889947"/>
    <x v="2"/>
    <s v="Special"/>
    <s v="Others"/>
    <x v="2"/>
    <x v="2"/>
    <n v="1"/>
    <s v="刀片无夜班生产"/>
  </r>
  <r>
    <s v="TSG_BLD_PF"/>
    <n v="313880606"/>
    <n v="1115284148"/>
    <s v="735151-B21"/>
    <s v="HP BL460c Gen8 E5-v2 10/20Gb CTO Blade"/>
    <n v="5"/>
    <s v="4BJT41977205"/>
    <d v="2014-12-30T02:03:56"/>
    <d v="2015-01-07T00:00:00"/>
    <d v="2015-01-06T00:05:24"/>
    <d v="2014-12-30T13:26:00"/>
    <d v="2014-12-30T13:45:54"/>
    <d v="2014-12-31T12:17:46"/>
    <n v="22.862777777889278"/>
    <n v="166.02444444451248"/>
    <x v="2"/>
    <n v="11.367777777719311"/>
    <n v="131.79388888890389"/>
    <x v="3"/>
    <s v="PGI"/>
    <s v="WH"/>
    <x v="3"/>
    <x v="3"/>
    <n v="1"/>
    <m/>
  </r>
  <r>
    <s v="TSG_ENCL_PF"/>
    <n v="313880606"/>
    <n v="1115284146"/>
    <s v="681844-B21"/>
    <s v="HP BLc7000 CTO 3 IN LCD Plat Enclosure"/>
    <n v="1"/>
    <s v="4BJT41977205"/>
    <d v="2014-12-30T02:02:58"/>
    <d v="2015-01-07T00:00:00"/>
    <d v="2015-01-06T00:05:24"/>
    <d v="2014-12-30T13:26:00"/>
    <d v="2014-12-30T14:10:51"/>
    <d v="2014-12-31T09:41:07"/>
    <n v="20.251944444549736"/>
    <n v="166.04055555572268"/>
    <x v="2"/>
    <n v="11.383888888929505"/>
    <n v="134.40472222224344"/>
    <x v="3"/>
    <s v="PGI"/>
    <s v="WH"/>
    <x v="3"/>
    <x v="3"/>
    <n v="1"/>
    <m/>
  </r>
  <r>
    <s v="TSG_MLDL_PF"/>
    <n v="313870113"/>
    <n v="1115269079"/>
    <s v="653200-B21 #AKM"/>
    <s v="HP DL380p Gen8 8-SFF CTO Server"/>
    <n v="1"/>
    <s v="4BJT41977166"/>
    <d v="2014-12-30T02:00:57"/>
    <d v="2015-01-07T00:00:00"/>
    <d v="2015-01-06T09:15:30"/>
    <d v="2014-12-30T18:10:00"/>
    <d v="2014-12-31T00:09:56"/>
    <d v="2014-12-31T15:37:42"/>
    <n v="21.461666666669771"/>
    <n v="175.24250000005122"/>
    <x v="2"/>
    <n v="16.150833333435003"/>
    <n v="137.62999999994645"/>
    <x v="3"/>
    <s v="PGI"/>
    <s v="WH"/>
    <x v="3"/>
    <x v="3"/>
    <n v="1"/>
    <m/>
  </r>
  <r>
    <s v="TSG_MLDL_PF"/>
    <n v="313868475"/>
    <n v="1115269026"/>
    <s v="653200-B21 #AKM"/>
    <s v="HP DL380p Gen8 8-SFF CTO Server"/>
    <n v="2"/>
    <s v="4BJT41977160"/>
    <d v="2014-12-30T02:00:57"/>
    <d v="2015-01-07T00:00:00"/>
    <d v="2015-01-06T09:15:30"/>
    <d v="2014-12-30T18:10:00"/>
    <d v="2014-12-30T22:51:14"/>
    <d v="2014-12-31T15:30:03"/>
    <n v="21.33416666672565"/>
    <n v="175.24250000005122"/>
    <x v="2"/>
    <n v="16.150833333435003"/>
    <n v="137.75749999989057"/>
    <x v="3"/>
    <s v="PGI"/>
    <s v="WH"/>
    <x v="3"/>
    <x v="3"/>
    <n v="1"/>
    <m/>
  </r>
  <r>
    <s v="TSG_MLDL_PF"/>
    <n v="313862174"/>
    <n v="1115258499"/>
    <s v="719064-B21 #AKM"/>
    <s v="HP DL380 Gen9 8SFF CTO Server"/>
    <n v="18"/>
    <s v="4BJT41977140"/>
    <d v="2014-12-30T01:54:56"/>
    <d v="2015-01-07T00:00:00"/>
    <d v="2015-01-06T14:03:32"/>
    <d v="2015-01-01T02:04:00"/>
    <d v="2015-01-01T05:45:31"/>
    <d v="2015-01-06T11:00:54"/>
    <n v="128.94833333347924"/>
    <n v="180.1433333333116"/>
    <x v="2"/>
    <n v="48.151111110986676"/>
    <n v="3.0438888888456859"/>
    <x v="4"/>
    <s v="shortage"/>
    <s v="Buyer"/>
    <x v="5"/>
    <x v="5"/>
    <n v="1"/>
    <s v="short 759516-001 /719079-b21@@ /652583-b21@@/726738-001+元旦休息1号到4号"/>
  </r>
  <r>
    <s v="TSG_MLDL_PF"/>
    <n v="313861087"/>
    <n v="1115256490"/>
    <s v="666532-B21 #AKM"/>
    <s v="HP DL360p Gen8 10-SFF CTO Server"/>
    <n v="195"/>
    <s v="4BJT41977136"/>
    <d v="2014-12-30T03:10:59"/>
    <d v="2015-01-07T00:00:00"/>
    <d v="2015-01-06T12:10:34"/>
    <d v="2014-12-31T02:30:00"/>
    <d v="2014-12-31T04:34:54"/>
    <d v="2015-01-06T10:16:30"/>
    <n v="151.77500000002328"/>
    <n v="176.99305555550382"/>
    <x v="0"/>
    <n v="23.316944444377441"/>
    <n v="1.9011111111030914"/>
    <x v="0"/>
    <m/>
    <m/>
    <x v="0"/>
    <x v="0"/>
    <n v="1"/>
    <s v="short 652583-b21@@/Runin issue(768202) 主板上的散热片脱落 2014/12/31 (周三) 13:41+元旦休息1号到4号"/>
  </r>
  <r>
    <s v="TSG_MLDL_PF"/>
    <n v="313860696"/>
    <n v="1115259177"/>
    <s v="653200-B21 #AKM"/>
    <s v="HP DL380p Gen8 8-SFF CTO Server"/>
    <n v="8"/>
    <s v="4BJT41977133"/>
    <d v="2014-12-30T01:51:56"/>
    <d v="2015-01-07T00:00:00"/>
    <d v="2015-01-05T17:31:18"/>
    <d v="2014-12-30T20:30:00"/>
    <d v="2014-12-31T03:09:33"/>
    <d v="2014-12-31T22:13:58"/>
    <n v="25.732777777884621"/>
    <n v="159.65611111099133"/>
    <x v="2"/>
    <n v="18.63444444432389"/>
    <n v="115.28888888878282"/>
    <x v="3"/>
    <s v="PGI"/>
    <s v="WH"/>
    <x v="3"/>
    <x v="3"/>
    <n v="1"/>
    <s v="short 652564-b21@@"/>
  </r>
  <r>
    <s v="TSG_MLDL_PF"/>
    <n v="313855471"/>
    <n v="1115248603"/>
    <s v="728551-B21 #AKM"/>
    <s v="HP DL580 Gen8 CTO Svr"/>
    <n v="10"/>
    <s v="4BJT41977128"/>
    <d v="2014-12-30T01:57:56"/>
    <d v="2015-01-07T00:00:00"/>
    <d v="2015-01-07T13:05:08"/>
    <d v="2014-12-31T20:47:00"/>
    <d v="2015-01-01T00:58:46"/>
    <d v="2015-01-07T10:10:13"/>
    <n v="157.38694444438443"/>
    <n v="203.11999999999534"/>
    <x v="2"/>
    <n v="42.817777777730953"/>
    <n v="2.9152777778799646"/>
    <x v="4"/>
    <s v="shortage"/>
    <s v="Buyer"/>
    <x v="5"/>
    <x v="5"/>
    <n v="1"/>
    <s v="short 729446-001/ 652564-b21@@ /732411-b21@@/维修缺728549-001 2015-01-06 10:53:54+元旦休息1号到4号"/>
  </r>
  <r>
    <s v="TSG_MLDL_PF"/>
    <n v="313876101"/>
    <n v="1115277237"/>
    <s v="726044-AA5"/>
    <s v="HP DL320eGen8v2 E3-1220v3 CN Svr/Promo"/>
    <n v="10"/>
    <s v="4BJT41975567"/>
    <d v="2014-12-29T19:44:54"/>
    <d v="2015-01-05T00:00:00"/>
    <d v="2015-01-05T08:43:14"/>
    <d v="2014-12-30T14:30:00"/>
    <d v="2014-12-30T19:04:20"/>
    <d v="2014-12-31T19:06:24"/>
    <n v="28.606666666804813"/>
    <n v="156.97222222213168"/>
    <x v="2"/>
    <n v="18.751666666532401"/>
    <n v="109.61388888879446"/>
    <x v="3"/>
    <s v="PGI"/>
    <s v="WH"/>
    <x v="3"/>
    <x v="3"/>
    <n v="1"/>
    <m/>
  </r>
  <r>
    <s v="TSG_MLDL_PF"/>
    <n v="313875143"/>
    <n v="1115276994"/>
    <s v="778453-AA1"/>
    <s v="HP DL180 Gen9 E5-2603v3 LFF Ety CN Svr"/>
    <n v="10"/>
    <s v="4BJT41975562"/>
    <d v="2014-12-29T19:44:53"/>
    <d v="2015-01-05T00:00:00"/>
    <d v="2015-01-05T08:43:15"/>
    <d v="2014-12-30T14:30:00"/>
    <d v="2014-12-30T17:48:34"/>
    <d v="2014-12-31T17:56:58"/>
    <n v="27.449444444559049"/>
    <n v="156.9727777778171"/>
    <x v="2"/>
    <n v="18.751944444375113"/>
    <n v="110.77138888888294"/>
    <x v="3"/>
    <s v="PGI"/>
    <s v="WH"/>
    <x v="3"/>
    <x v="3"/>
    <n v="1"/>
    <m/>
  </r>
  <r>
    <s v="TSG_MLDL_PF"/>
    <n v="313875143"/>
    <n v="1115276990"/>
    <s v="769503-AA1"/>
    <s v="HP DL160 Gen9 E5-2603v3 LFF Ety CN Svr"/>
    <n v="10"/>
    <s v="4BJT41975561"/>
    <d v="2014-12-29T19:42:52"/>
    <d v="2015-01-05T00:00:00"/>
    <d v="2015-01-05T08:43:15"/>
    <d v="2014-12-30T14:30:00"/>
    <d v="2014-12-30T16:51:32"/>
    <d v="2014-12-31T22:03:41"/>
    <n v="31.561388888920192"/>
    <n v="157.00638888892718"/>
    <x v="2"/>
    <n v="18.785555555485189"/>
    <n v="106.6594444445218"/>
    <x v="3"/>
    <s v="PGI"/>
    <s v="WH"/>
    <x v="3"/>
    <x v="3"/>
    <n v="1"/>
    <m/>
  </r>
  <r>
    <s v="TSG_MLDL_PF"/>
    <n v="313846985"/>
    <n v="1115237105"/>
    <s v="653200-B21 #AKM"/>
    <s v="HP DL380p Gen8 8-SFF CTO Server"/>
    <n v="26"/>
    <s v="4BJT41974755"/>
    <d v="2014-12-29T18:31:51"/>
    <d v="2015-01-05T00:00:00"/>
    <d v="2015-01-05T08:43:14"/>
    <d v="2014-12-30T20:30:00"/>
    <d v="2014-12-31T01:05:18"/>
    <d v="2014-12-31T18:38:18"/>
    <n v="22.138333333306946"/>
    <n v="158.18972222227603"/>
    <x v="2"/>
    <n v="25.969166666676756"/>
    <n v="110.08222222229233"/>
    <x v="4"/>
    <s v="shortage"/>
    <s v="Buyer"/>
    <x v="5"/>
    <x v="5"/>
    <n v="1"/>
    <s v="short 652564-b21@@"/>
  </r>
  <r>
    <s v="TSG_MLDL_PF"/>
    <n v="313844957"/>
    <n v="1115235124"/>
    <s v="653200-B21 #AKM"/>
    <s v="HP DL380p Gen8 8-SFF CTO Server"/>
    <n v="1"/>
    <s v="4BJT41974753"/>
    <d v="2014-12-29T18:27:51"/>
    <d v="2015-01-05T00:00:00"/>
    <d v="2015-01-05T16:27:18"/>
    <d v="2014-12-31T06:47:00"/>
    <d v="2014-12-31T10:47:40"/>
    <d v="2015-01-05T14:23:42"/>
    <n v="127.61166666675126"/>
    <n v="165.99083333322778"/>
    <x v="0"/>
    <n v="36.319166666537058"/>
    <n v="2.059999999939464"/>
    <x v="0"/>
    <m/>
    <m/>
    <x v="0"/>
    <x v="0"/>
    <n v="1"/>
    <s v="cic+元旦休息1号到4号"/>
  </r>
  <r>
    <s v="TSG_MLDL_PF"/>
    <n v="313847693"/>
    <n v="1115238205"/>
    <s v="669253-B21 #AKM"/>
    <s v="HP DL380e Gen8 8SFF CTO Server"/>
    <n v="6"/>
    <s v="4BJT41954149"/>
    <d v="2014-12-26T11:30:10"/>
    <d v="2014-12-31T00:00:00"/>
    <d v="2015-01-07T04:37:46"/>
    <d v="2015-01-06T07:00:00"/>
    <d v="2015-01-06T11:55:14"/>
    <d v="2015-01-07T01:13:05"/>
    <n v="18.21805555553874"/>
    <n v="281.12666666664882"/>
    <x v="2"/>
    <n v="259.49722222209675"/>
    <n v="3.4113888890133239"/>
    <x v="4"/>
    <s v="shortage"/>
    <s v="Buyer"/>
    <x v="5"/>
    <x v="5"/>
    <n v="1"/>
    <s v="short 668254-001 eta 1/6"/>
  </r>
  <r>
    <s v="TSG_MLDL_PF"/>
    <n v="313847693"/>
    <n v="1115240312"/>
    <s v="669253-B21 #AKM"/>
    <s v="HP DL380e Gen8 8SFF CTO Server"/>
    <n v="2"/>
    <s v="4BJT41954149"/>
    <d v="2014-12-26T11:29:09"/>
    <d v="2014-12-31T00:00:00"/>
    <d v="2015-01-07T04:37:45"/>
    <d v="2015-01-05T22:50:00"/>
    <d v="2015-01-06T02:07:14"/>
    <d v="2015-01-06T17:48:27"/>
    <n v="18.974166666681413"/>
    <n v="281.14333333336981"/>
    <x v="2"/>
    <n v="251.3475000000908"/>
    <n v="10.821666666597594"/>
    <x v="4"/>
    <s v="shortage"/>
    <s v="Buyer"/>
    <x v="5"/>
    <x v="5"/>
    <n v="1"/>
    <s v="short 668254-001 eta 1/6"/>
  </r>
  <r>
    <s v="TSG_MLDL_PF"/>
    <n v="313847693"/>
    <n v="1115238206"/>
    <s v="669253-B21 #AKM"/>
    <s v="HP DL380e Gen8 8SFF CTO Server"/>
    <n v="1"/>
    <s v="4BJT41954149"/>
    <d v="2014-12-26T11:29:11"/>
    <d v="2014-12-31T00:00:00"/>
    <d v="2015-01-07T04:37:46"/>
    <d v="2015-01-05T22:50:00"/>
    <d v="2015-01-06T02:10:28"/>
    <d v="2015-01-06T15:18:18"/>
    <n v="16.471666666679084"/>
    <n v="281.1430555555271"/>
    <x v="2"/>
    <n v="251.34694444440538"/>
    <n v="13.324444444442634"/>
    <x v="4"/>
    <s v="shortage"/>
    <s v="Buyer"/>
    <x v="5"/>
    <x v="5"/>
    <n v="1"/>
    <s v="short 668254-001 eta 1/6"/>
  </r>
  <r>
    <s v="TSG_MLDL_PF"/>
    <n v="313847693"/>
    <n v="1115238203"/>
    <s v="669253-B21 #AKM"/>
    <s v="HP DL380e Gen8 8SFF CTO Server"/>
    <n v="3"/>
    <s v="4BJT41954149"/>
    <d v="2014-12-26T11:28:12"/>
    <d v="2014-12-31T00:00:00"/>
    <d v="2015-01-07T04:37:45"/>
    <d v="2014-12-27T03:13:00"/>
    <d v="2014-12-27T07:35:33"/>
    <d v="2014-12-28T18:04:04"/>
    <n v="38.851111111056525"/>
    <n v="281.15916666673729"/>
    <x v="2"/>
    <n v="15.746666666760575"/>
    <n v="226.56138888892019"/>
    <x v="3"/>
    <s v="Group order"/>
    <s v="WH"/>
    <x v="5"/>
    <x v="5"/>
    <n v="1"/>
    <m/>
  </r>
  <r>
    <s v="TSG_MLDL_PF"/>
    <n v="313847693"/>
    <n v="1115238204"/>
    <s v="669253-B21 #AKM"/>
    <s v="HP DL380e Gen8 8SFF CTO Server"/>
    <n v="2"/>
    <s v="4BJT41954149"/>
    <d v="2014-12-26T11:29:09"/>
    <d v="2014-12-31T00:00:00"/>
    <d v="2015-01-07T04:37:46"/>
    <d v="2014-12-27T03:13:00"/>
    <d v="2014-12-27T06:50:59"/>
    <d v="2014-12-28T13:59:25"/>
    <n v="34.773611111158971"/>
    <n v="281.14361111121252"/>
    <x v="2"/>
    <n v="15.730833333393093"/>
    <n v="230.63916666666046"/>
    <x v="3"/>
    <s v="Group order"/>
    <s v="WH"/>
    <x v="5"/>
    <x v="5"/>
    <n v="1"/>
    <m/>
  </r>
  <r>
    <s v="TSG_MLDL_PF"/>
    <n v="313847693"/>
    <n v="1115238202"/>
    <s v="669253-B21 #AKM"/>
    <s v="HP DL380e Gen8 8SFF CTO Server"/>
    <n v="2"/>
    <s v="4BJT41954149"/>
    <d v="2014-12-26T11:29:11"/>
    <d v="2014-12-31T00:00:00"/>
    <d v="2015-01-07T04:37:45"/>
    <d v="2014-12-27T03:13:00"/>
    <d v="2014-12-27T07:40:23"/>
    <d v="2014-12-28T13:10:03"/>
    <n v="33.950833333306946"/>
    <n v="281.14277777768439"/>
    <x v="2"/>
    <n v="15.73027777770767"/>
    <n v="231.46166666666977"/>
    <x v="3"/>
    <s v="Group order"/>
    <s v="WH"/>
    <x v="5"/>
    <x v="5"/>
    <n v="1"/>
    <m/>
  </r>
  <r>
    <s v="TSG_MLDL_PF"/>
    <n v="313846982"/>
    <n v="1115237087"/>
    <s v="669253-B21 #AKM"/>
    <s v="HP DL380e Gen8 8SFF CTO Server"/>
    <n v="2"/>
    <s v="4BJT41954148"/>
    <d v="2014-12-26T11:28:10"/>
    <d v="2014-12-31T00:00:00"/>
    <d v="2015-01-07T04:21:45"/>
    <d v="2015-01-05T22:50:00"/>
    <d v="2015-01-06T01:56:45"/>
    <d v="2015-01-06T17:44:37"/>
    <n v="18.910277777700685"/>
    <n v="280.89305555558531"/>
    <x v="2"/>
    <n v="251.36388888896909"/>
    <n v="10.618888888915535"/>
    <x v="4"/>
    <s v="shortage"/>
    <s v="Buyer"/>
    <x v="5"/>
    <x v="5"/>
    <n v="1"/>
    <s v="short 668254-001 eta 1/6"/>
  </r>
  <r>
    <s v="TSG_MLDL_PF"/>
    <n v="313846982"/>
    <n v="1115237089"/>
    <s v="669253-B21 #AKM"/>
    <s v="HP DL380e Gen8 8SFF CTO Server"/>
    <n v="2"/>
    <s v="4BJT41954148"/>
    <d v="2014-12-26T11:28:10"/>
    <d v="2014-12-31T00:00:00"/>
    <d v="2015-01-07T04:21:45"/>
    <d v="2015-01-05T22:50:00"/>
    <d v="2015-01-06T02:02:23"/>
    <d v="2015-01-06T15:26:11"/>
    <n v="16.603055555548053"/>
    <n v="280.89305555558531"/>
    <x v="2"/>
    <n v="251.36388888896909"/>
    <n v="12.926111111068167"/>
    <x v="4"/>
    <s v="shortage"/>
    <s v="Buyer"/>
    <x v="5"/>
    <x v="5"/>
    <n v="1"/>
    <s v="short 668254-001 eta 1/6"/>
  </r>
  <r>
    <s v="TSG_MLDL_PF"/>
    <n v="313846982"/>
    <n v="1115237091"/>
    <s v="669253-B21 #AKM"/>
    <s v="HP DL380e Gen8 8SFF CTO Server"/>
    <n v="2"/>
    <s v="4BJT41954148"/>
    <d v="2014-12-26T11:28:11"/>
    <d v="2014-12-31T00:00:00"/>
    <d v="2015-01-07T04:21:45"/>
    <d v="2015-01-05T22:50:00"/>
    <d v="2015-01-06T02:14:26"/>
    <d v="2015-01-06T15:26:48"/>
    <n v="16.613333333283663"/>
    <n v="280.89277777774259"/>
    <x v="2"/>
    <n v="251.36361111112637"/>
    <n v="12.915833333332557"/>
    <x v="4"/>
    <s v="shortage"/>
    <s v="Buyer"/>
    <x v="5"/>
    <x v="5"/>
    <n v="1"/>
    <s v="short 668254-001 eta 1/6"/>
  </r>
  <r>
    <s v="TSG_MLDL_PF"/>
    <n v="313846982"/>
    <n v="1115237088"/>
    <s v="669253-B21 #AKM"/>
    <s v="HP DL380e Gen8 8SFF CTO Server"/>
    <n v="2"/>
    <s v="4BJT41954148"/>
    <d v="2014-12-26T11:29:10"/>
    <d v="2014-12-31T00:00:00"/>
    <d v="2015-01-07T04:21:45"/>
    <d v="2015-01-05T22:50:00"/>
    <d v="2015-01-06T02:16:28"/>
    <d v="2015-01-06T17:49:03"/>
    <n v="18.984166666574311"/>
    <n v="280.87638888886431"/>
    <x v="2"/>
    <n v="251.34722222224809"/>
    <n v="10.54500000004191"/>
    <x v="4"/>
    <s v="shortage"/>
    <s v="Buyer"/>
    <x v="5"/>
    <x v="5"/>
    <n v="1"/>
    <s v="short 668254-001 eta 1/6"/>
  </r>
  <r>
    <s v="TSG_MLDL_PF"/>
    <n v="313846982"/>
    <n v="1115237090"/>
    <s v="669253-B21 #AKM"/>
    <s v="HP DL380e Gen8 8SFF CTO Server"/>
    <n v="2"/>
    <s v="4BJT41954148"/>
    <d v="2014-12-26T11:29:11"/>
    <d v="2014-12-31T00:00:00"/>
    <d v="2015-01-07T04:21:45"/>
    <d v="2015-01-05T22:50:00"/>
    <d v="2015-01-06T02:12:18"/>
    <d v="2015-01-06T22:12:39"/>
    <n v="23.377499999944121"/>
    <n v="280.8761111110216"/>
    <x v="2"/>
    <n v="251.34694444440538"/>
    <n v="6.1516666666720994"/>
    <x v="4"/>
    <s v="shortage"/>
    <s v="Buyer"/>
    <x v="5"/>
    <x v="5"/>
    <n v="1"/>
    <s v="short 668254-001 eta 1/6"/>
  </r>
  <r>
    <s v="TSG_MLDL_PF"/>
    <n v="313846982"/>
    <n v="1115237092"/>
    <s v="669253-B21 #AKM"/>
    <s v="HP DL380e Gen8 8SFF CTO Server"/>
    <n v="1"/>
    <s v="4BJT41954148"/>
    <d v="2014-12-26T11:29:11"/>
    <d v="2014-12-31T00:00:00"/>
    <d v="2015-01-07T04:21:45"/>
    <d v="2014-12-27T03:13:00"/>
    <d v="2014-12-27T06:44:18"/>
    <d v="2014-12-28T12:30:52"/>
    <n v="33.297777777712326"/>
    <n v="280.8761111110216"/>
    <x v="2"/>
    <n v="15.73027777770767"/>
    <n v="231.8480555556016"/>
    <x v="3"/>
    <s v="Group order"/>
    <s v="WH"/>
    <x v="5"/>
    <x v="5"/>
    <n v="1"/>
    <m/>
  </r>
  <r>
    <s v="TSG_MLDL_PF"/>
    <n v="313860817"/>
    <n v="1115257076"/>
    <s v="653200-B21 #AKM"/>
    <s v="HP DL380p Gen8 8-SFF CTO Server"/>
    <n v="14"/>
    <s v="4BJT41932840"/>
    <d v="2015-01-06T01:07:10"/>
    <d v="2015-01-12T00:00:00"/>
    <d v="2015-01-08T09:15:06"/>
    <d v="2015-01-06T06:52:00"/>
    <d v="2015-01-06T15:18:38"/>
    <d v="2015-01-07T12:34:55"/>
    <n v="29.715277777751908"/>
    <n v="56.132222222280689"/>
    <x v="0"/>
    <n v="5.747222222329583"/>
    <n v="20.669722222199198"/>
    <x v="0"/>
    <m/>
    <m/>
    <x v="0"/>
    <x v="0"/>
    <n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61">
  <r>
    <s v="TSG_BLD_PF"/>
    <n v="313902047"/>
    <n v="1115312648"/>
    <s v="735151-B21"/>
    <s v="HP BL460c Gen8 E5-v2 10/20Gb CTO Blade"/>
    <n v="2"/>
    <s v="MSHT42024256"/>
    <d v="2015-01-12T14:13:56"/>
    <d v="2015-01-15T00:00:00"/>
    <d v="2015-01-15T17:46:18"/>
    <d v="2015-01-13T08:55:00"/>
    <d v="2015-01-13T12:00:44"/>
    <d v="2015-01-14T03:22:50"/>
    <n v="18.5"/>
    <n v="57.299999237060547"/>
    <x v="0"/>
    <m/>
    <m/>
    <m/>
    <m/>
    <m/>
    <m/>
    <m/>
    <m/>
    <m/>
    <s v="N"/>
    <s v="Y"/>
  </r>
  <r>
    <s v="TSG_MLDL_PF"/>
    <n v="313902047"/>
    <n v="1115334829"/>
    <s v="755258-B21 #AKM"/>
    <s v="HP DL360 Gen9 8SFF CTO Server"/>
    <n v="8"/>
    <s v="MSHT42024256"/>
    <d v="2015-01-12T14:12:56"/>
    <d v="2015-01-15T00:00:00"/>
    <d v="2015-01-16T13:15:38"/>
    <d v="2015-01-14T11:30:00"/>
    <d v="2015-01-14T19:24:56"/>
    <d v="2015-01-16T10:44:15"/>
    <n v="47.200000762939453"/>
    <n v="76.800003051757813"/>
    <x v="1"/>
    <m/>
    <m/>
    <m/>
    <m/>
    <m/>
    <m/>
    <m/>
    <m/>
    <m/>
    <s v="N"/>
    <s v="Y"/>
  </r>
  <r>
    <s v="TSG_MLDL_PF"/>
    <n v="313887999"/>
    <n v="1115294805"/>
    <s v="653200-B21 #AKM"/>
    <s v="HP DL380p Gen8 8-SFF CTO Server"/>
    <n v="2"/>
    <s v="4ZZT42051026"/>
    <d v="2015-01-14T01:44:39"/>
    <d v="2015-01-20T00:00:00"/>
    <d v="2015-01-17T07:32:44"/>
    <d v="2015-01-15T23:03:00"/>
    <d v="2015-01-16T10:34:37"/>
    <d v="2015-01-17T04:42:58"/>
    <n v="29.700000762939453"/>
    <n v="77.800003051757812"/>
    <x v="2"/>
    <m/>
    <m/>
    <m/>
    <m/>
    <m/>
    <m/>
    <m/>
    <m/>
    <m/>
    <s v="N"/>
    <m/>
  </r>
  <r>
    <s v="TSG_MLDL_PF"/>
    <n v="313916318"/>
    <n v="1115336079"/>
    <s v="653200-B21 #AKM"/>
    <s v="HP DL380p Gen8 8-SFF CTO Server"/>
    <n v="9"/>
    <s v="4ZZT42049471"/>
    <d v="2015-01-13T19:41:33"/>
    <d v="2015-01-19T00:00:00"/>
    <d v="2015-01-16T05:23:25"/>
    <d v="2015-01-14T17:15:00"/>
    <d v="2015-01-15T00:59:11"/>
    <d v="2015-01-16T03:25:31"/>
    <n v="34.200000762939453"/>
    <n v="57.700000762939453"/>
    <x v="0"/>
    <m/>
    <m/>
    <m/>
    <m/>
    <m/>
    <m/>
    <m/>
    <m/>
    <m/>
    <s v="N"/>
    <m/>
  </r>
  <r>
    <s v="TSG_MLDL_PF"/>
    <n v="313887995"/>
    <n v="1115294799"/>
    <s v="653200-B21 #AKM"/>
    <s v="HP DL380p Gen8 8-SFF CTO Server"/>
    <n v="2"/>
    <s v="4ZZT42047519"/>
    <d v="2015-01-13T13:20:24"/>
    <d v="2015-01-16T00:00:00"/>
    <d v="2015-01-15T20:56:22"/>
    <d v="2015-01-14T17:15:00"/>
    <d v="2015-01-15T00:31:26"/>
    <d v="2015-01-15T19:04:34"/>
    <n v="25.799999237060547"/>
    <n v="55.599998474121094"/>
    <x v="0"/>
    <m/>
    <m/>
    <m/>
    <m/>
    <m/>
    <m/>
    <m/>
    <m/>
    <m/>
    <s v="N"/>
    <m/>
  </r>
  <r>
    <s v="TSG_ENCL_PF"/>
    <n v="313883891"/>
    <n v="1115294018"/>
    <s v="681844-B21"/>
    <s v="HP BLc7000 CTO 3 IN LCD Plat Enclosure"/>
    <n v="1"/>
    <s v="4ZZT42045536"/>
    <d v="2015-01-13T01:43:09"/>
    <d v="2015-01-19T00:00:00"/>
    <d v="2015-01-15T08:12:12"/>
    <d v="2015-01-13T13:30:00"/>
    <d v="2015-01-13T14:58:04"/>
    <d v="2015-01-13T22:05:17"/>
    <n v="8.6000003814697266"/>
    <n v="47.700000762939453"/>
    <x v="0"/>
    <m/>
    <m/>
    <m/>
    <m/>
    <m/>
    <m/>
    <m/>
    <m/>
    <m/>
    <s v="N"/>
    <s v="Y"/>
  </r>
  <r>
    <s v="TSG_BLD_PF"/>
    <n v="313883891"/>
    <n v="1115294019"/>
    <s v="634975-B21"/>
    <s v="HP BL465c Gen8 10Gb Flb CTO Blade"/>
    <n v="2"/>
    <s v="4ZZT42045536"/>
    <d v="2015-01-13T01:44:16"/>
    <d v="2015-01-19T00:00:00"/>
    <d v="2015-01-15T08:12:11"/>
    <d v="2015-01-13T13:30:00"/>
    <d v="2015-01-13T15:47:32"/>
    <d v="2015-01-14T17:08:34"/>
    <n v="27.600000381469727"/>
    <n v="47.700000762939453"/>
    <x v="0"/>
    <m/>
    <m/>
    <m/>
    <m/>
    <m/>
    <m/>
    <m/>
    <m/>
    <m/>
    <s v="N"/>
    <s v="Y"/>
  </r>
  <r>
    <s v="TSG_BLD_PF"/>
    <n v="313883891"/>
    <n v="1115294020"/>
    <s v="634975-B21"/>
    <s v="HP BL465c Gen8 10Gb Flb CTO Blade"/>
    <n v="6"/>
    <s v="4ZZT42045536"/>
    <d v="2015-01-13T01:43:18"/>
    <d v="2015-01-19T00:00:00"/>
    <d v="2015-01-15T08:12:12"/>
    <d v="2015-01-13T13:30:00"/>
    <d v="2015-01-13T15:54:44"/>
    <d v="2015-01-15T03:27:56"/>
    <n v="38"/>
    <n v="47.700000762939453"/>
    <x v="0"/>
    <m/>
    <m/>
    <m/>
    <m/>
    <m/>
    <m/>
    <m/>
    <m/>
    <m/>
    <s v="N"/>
    <s v="Y"/>
  </r>
  <r>
    <s v="TSG_MLDL_PF"/>
    <n v="313888757"/>
    <n v="1115296044"/>
    <s v="653200-B21 #AKM"/>
    <s v="HP DL380p Gen8 8-SFF CTO Server"/>
    <n v="2"/>
    <s v="4ZZT42042699"/>
    <d v="2015-01-12T16:06:59"/>
    <d v="2015-01-16T00:00:00"/>
    <d v="2015-01-15T03:32:07"/>
    <d v="2015-01-13T15:30:00"/>
    <d v="2015-01-13T22:35:59"/>
    <d v="2015-01-15T01:57:14"/>
    <n v="34.5"/>
    <n v="43"/>
    <x v="0"/>
    <m/>
    <m/>
    <m/>
    <m/>
    <m/>
    <m/>
    <m/>
    <m/>
    <m/>
    <s v="N"/>
    <m/>
  </r>
  <r>
    <s v="TSG_BLD_PF"/>
    <n v="313832722"/>
    <n v="1115307852"/>
    <s v="735151-B21"/>
    <s v="HP BL460c Gen8 E5-v2 10/20Gb CTO Blade"/>
    <n v="16"/>
    <s v="4ZZT41932128"/>
    <d v="2015-01-07T11:36:41"/>
    <d v="2015-01-12T00:00:00"/>
    <d v="2015-01-12T12:26:17"/>
    <d v="2015-01-08T15:49:00"/>
    <d v="2015-01-08T16:54:53"/>
    <d v="2015-01-12T09:43:15"/>
    <n v="64.699996948242188"/>
    <n v="92.900001525878906"/>
    <x v="1"/>
    <m/>
    <m/>
    <m/>
    <m/>
    <m/>
    <m/>
    <m/>
    <m/>
    <m/>
    <s v="N"/>
    <m/>
  </r>
  <r>
    <s v="TSG_BLD_PF"/>
    <n v="313883885"/>
    <n v="1115291867"/>
    <s v="739347-B21"/>
    <s v="HP WS460c Gen8 E5-v2 CTO Blade"/>
    <n v="22"/>
    <s v="4YUT42039676"/>
    <d v="2015-01-12T00:45:48"/>
    <d v="2015-01-16T00:00:00"/>
    <d v="2015-01-15T05:55:12"/>
    <d v="2015-01-13T03:39:00"/>
    <d v="2015-01-13T10:07:41"/>
    <d v="2015-01-15T03:30:34"/>
    <n v="43"/>
    <n v="45.400001525878906"/>
    <x v="3"/>
    <m/>
    <m/>
    <m/>
    <m/>
    <m/>
    <m/>
    <m/>
    <m/>
    <m/>
    <s v="N"/>
    <s v="Y"/>
  </r>
  <r>
    <s v="TSG_ENCL_PF"/>
    <n v="313883885"/>
    <n v="1115291874"/>
    <s v="681840-B21"/>
    <s v="HP BLc7000 1PH 2PS 4Fan Trl IC Plat Encl"/>
    <n v="1"/>
    <s v="4YUT42039676"/>
    <d v="2015-01-12T00:44:42"/>
    <d v="2015-01-16T00:00:00"/>
    <d v="2015-01-15T05:55:12"/>
    <d v="2015-01-13T03:39:00"/>
    <d v="2015-01-13T08:48:01"/>
    <d v="2015-01-13T13:29:13"/>
    <n v="5"/>
    <n v="45.400001525878906"/>
    <x v="0"/>
    <m/>
    <m/>
    <m/>
    <m/>
    <m/>
    <m/>
    <m/>
    <m/>
    <m/>
    <s v="N"/>
    <s v="Y"/>
  </r>
  <r>
    <s v="TSG_MLDL_PF"/>
    <n v="4051299807"/>
    <n v="1115336023"/>
    <s v="D2A41A"/>
    <s v="HP DL320e Gen8 E3-1220Lv2 SP1080JP Svr"/>
    <n v="5"/>
    <s v="4YOA42057248"/>
    <d v="2015-01-15T00:45:06"/>
    <d v="2015-01-21T00:00:00"/>
    <d v="2015-01-17T17:59:53"/>
    <d v="2015-01-17T01:30:00"/>
    <d v="2015-01-17T04:37:11"/>
    <d v="2015-01-17T15:04:28"/>
    <n v="13.600000381469727"/>
    <n v="65.199996948242188"/>
    <x v="2"/>
    <m/>
    <m/>
    <m/>
    <m/>
    <m/>
    <m/>
    <m/>
    <m/>
    <m/>
    <s v="N"/>
    <m/>
  </r>
  <r>
    <s v="TSG_MLDL_PF"/>
    <n v="4051299804"/>
    <n v="1115336019"/>
    <s v="778165-295"/>
    <s v="HP ML350T09 E5-2630v3 SFF JP Svr/Promo"/>
    <n v="3"/>
    <s v="4YOA42057247"/>
    <d v="2015-01-15T00:45:08"/>
    <d v="2015-01-21T00:00:00"/>
    <d v="2015-01-17T17:59:53"/>
    <d v="2015-01-16T10:02:00"/>
    <d v="2015-01-16T15:20:31"/>
    <d v="2015-01-17T15:56:52"/>
    <n v="29.899999618530273"/>
    <n v="65.199996948242188"/>
    <x v="2"/>
    <m/>
    <m/>
    <m/>
    <m/>
    <m/>
    <m/>
    <m/>
    <m/>
    <m/>
    <s v="N"/>
    <m/>
  </r>
  <r>
    <s v="TSG_MLDL_PF"/>
    <n v="4051299006"/>
    <n v="1115328101"/>
    <s v="778163-295"/>
    <s v="HP ML350T09 E5-2620v3 SFF JP Svr/Promo"/>
    <n v="5"/>
    <s v="4YOA42057246"/>
    <d v="2015-01-15T00:45:05"/>
    <d v="2015-01-21T00:00:00"/>
    <d v="2015-01-17T16:24:54"/>
    <d v="2015-01-16T10:02:00"/>
    <d v="2015-01-16T15:25:36"/>
    <d v="2015-01-17T14:32:54"/>
    <n v="28.5"/>
    <n v="63.700000762939453"/>
    <x v="2"/>
    <m/>
    <m/>
    <m/>
    <m/>
    <m/>
    <m/>
    <m/>
    <m/>
    <m/>
    <s v="N"/>
    <m/>
  </r>
  <r>
    <s v="TSG_MLDL_PF"/>
    <n v="4051299002"/>
    <n v="1115328099"/>
    <s v="G6X07A"/>
    <s v="HP ML350eGen8v2 E5-2420v2 SP1175JP Svr"/>
    <n v="3"/>
    <s v="4YOA42057245"/>
    <d v="2015-01-15T00:45:08"/>
    <d v="2015-01-21T00:00:00"/>
    <d v="2015-01-18T19:47:08"/>
    <d v="2015-01-16T10:02:00"/>
    <d v="2015-01-16T14:15:30"/>
    <d v="2015-01-18T16:55:13"/>
    <n v="46.5"/>
    <n v="79.800003051757813"/>
    <x v="1"/>
    <m/>
    <m/>
    <m/>
    <m/>
    <m/>
    <m/>
    <m/>
    <m/>
    <m/>
    <s v="N"/>
    <n v="54.886944444326218"/>
  </r>
  <r>
    <s v="TSG_MLDL_PF"/>
    <n v="4051298914"/>
    <n v="1115327248"/>
    <s v="748953-291"/>
    <s v="HP ML350e Gen8 v2 E5-2407v2 Base JP Svr"/>
    <n v="17"/>
    <s v="4YOA42057244"/>
    <d v="2015-01-15T00:46:05"/>
    <d v="2015-01-21T00:00:00"/>
    <d v="2015-01-18T16:06:07"/>
    <d v="2015-01-16T10:02:00"/>
    <d v="2015-01-16T14:42:11"/>
    <d v="2015-01-18T13:39:38"/>
    <n v="46.5"/>
    <n v="79.699996948242187"/>
    <x v="1"/>
    <m/>
    <m/>
    <m/>
    <m/>
    <m/>
    <m/>
    <m/>
    <m/>
    <m/>
    <s v="N"/>
    <m/>
  </r>
  <r>
    <s v="TSG_MLDL_PF"/>
    <n v="4051298908"/>
    <n v="1115327242"/>
    <s v="G6X08A"/>
    <s v="HP ML350eGen8v2 E5-2403v2 XP1176JP Svr"/>
    <n v="10"/>
    <s v="4YOA42057243"/>
    <d v="2015-01-15T00:45:09"/>
    <d v="2015-01-21T00:00:00"/>
    <d v="2015-01-18T01:54:57"/>
    <d v="2015-01-16T10:02:00"/>
    <d v="2015-01-16T14:13:01"/>
    <d v="2015-01-17T22:44:57"/>
    <n v="36.700000762939453"/>
    <n v="73.199996948242188"/>
    <x v="2"/>
    <m/>
    <m/>
    <m/>
    <m/>
    <m/>
    <m/>
    <m/>
    <m/>
    <m/>
    <s v="N"/>
    <m/>
  </r>
  <r>
    <s v="TSG_MLDL_PF"/>
    <n v="4051297693"/>
    <n v="1115336345"/>
    <s v="675422-291"/>
    <s v="HP DL320e Gen8 E3-1240v2 Hot Plug JP Svr"/>
    <n v="40"/>
    <s v="4YOA42057241"/>
    <d v="2015-01-15T00:48:05"/>
    <d v="2015-01-21T00:00:00"/>
    <d v="2015-01-17T20:21:54"/>
    <d v="2015-01-16T10:02:00"/>
    <d v="2015-01-16T14:04:42"/>
    <d v="2015-01-17T18:59:00"/>
    <n v="33"/>
    <n v="67.599998474121094"/>
    <x v="2"/>
    <m/>
    <m/>
    <m/>
    <m/>
    <m/>
    <m/>
    <m/>
    <m/>
    <m/>
    <s v="N"/>
    <m/>
  </r>
  <r>
    <s v="TSG_MLDL_PF"/>
    <n v="4051297871"/>
    <n v="1115328434"/>
    <s v="F1F34A"/>
    <s v="HP ML310e Gen8v2 E3-1220v3 SP1152JP Svr"/>
    <n v="50"/>
    <s v="4YOA42053779"/>
    <d v="2015-01-14T14:57:54"/>
    <d v="2015-01-19T00:00:00"/>
    <d v="2015-01-17T23:31:55"/>
    <d v="2015-01-16T03:20:00"/>
    <d v="2015-01-16T08:55:54"/>
    <d v="2015-01-17T21:01:15"/>
    <n v="41.700000762939453"/>
    <n v="80.599998474121094"/>
    <x v="2"/>
    <m/>
    <m/>
    <m/>
    <m/>
    <m/>
    <m/>
    <m/>
    <m/>
    <m/>
    <s v="N"/>
    <m/>
  </r>
  <r>
    <s v="TSG_MLDL_PF"/>
    <n v="4051299802"/>
    <n v="1115336018"/>
    <s v="G6X07A"/>
    <s v="HP ML350eGen8v2 E5-2420v2 SP1175JP Svr"/>
    <n v="3"/>
    <s v="4YOA42044165"/>
    <d v="2015-01-12T19:23:12"/>
    <d v="2015-01-15T00:00:00"/>
    <d v="2015-01-15T20:56:23"/>
    <d v="2015-01-13T21:00:00"/>
    <d v="2015-01-14T01:25:20"/>
    <d v="2015-01-15T19:14:16"/>
    <n v="46.200000762939453"/>
    <n v="60.400001525878906"/>
    <x v="1"/>
    <m/>
    <m/>
    <m/>
    <m/>
    <m/>
    <m/>
    <m/>
    <m/>
    <m/>
    <s v="N"/>
    <m/>
  </r>
  <r>
    <s v="TSG_MLDL_PF"/>
    <n v="4051298917"/>
    <n v="1115327247"/>
    <s v="768714-295"/>
    <s v="HP DL320e Gen8v2 E3-1241v3 JP Svr/Promo"/>
    <n v="55"/>
    <s v="4YOA42044164"/>
    <d v="2015-01-12T19:25:04"/>
    <d v="2015-01-15T00:00:00"/>
    <d v="2015-01-15T22:31:22"/>
    <d v="2015-01-13T21:00:00"/>
    <d v="2015-01-14T04:35:32"/>
    <d v="2015-01-15T19:29:33"/>
    <n v="46.5"/>
    <n v="62"/>
    <x v="1"/>
    <m/>
    <m/>
    <m/>
    <m/>
    <m/>
    <m/>
    <m/>
    <m/>
    <m/>
    <s v="N"/>
    <m/>
  </r>
  <r>
    <s v="TSG_MLDL_PF"/>
    <n v="4051299808"/>
    <n v="1115336026"/>
    <s v="765819-291"/>
    <s v="HP ML350T09 E5-2609v3 LFF Entry JP Svr"/>
    <n v="5"/>
    <s v="4YOA42043513"/>
    <d v="2015-01-12T17:51:01"/>
    <d v="2015-01-15T00:00:00"/>
    <d v="2015-01-15T20:56:23"/>
    <d v="2015-01-13T21:00:00"/>
    <d v="2015-01-14T01:22:44"/>
    <d v="2015-01-15T19:01:59"/>
    <n v="46"/>
    <n v="60.400001525878906"/>
    <x v="1"/>
    <m/>
    <m/>
    <m/>
    <m/>
    <m/>
    <m/>
    <m/>
    <m/>
    <m/>
    <s v="N"/>
    <m/>
  </r>
  <r>
    <s v="TSG_MLDL_PF"/>
    <n v="4051299806"/>
    <n v="1115350996"/>
    <s v="780855-295"/>
    <s v="HP ML150 Gen9 E5-2603 v3 SFF JP Svr/Prom"/>
    <n v="2"/>
    <s v="4YOA42043512"/>
    <d v="2015-01-15T00:45:05"/>
    <d v="2015-01-21T00:00:00"/>
    <d v="2015-01-18T19:47:08"/>
    <d v="2015-01-17T15:00:00"/>
    <d v="2015-01-17T16:36:44"/>
    <d v="2015-01-18T16:40:43"/>
    <n v="17.5"/>
    <n v="79.800003051757813"/>
    <x v="2"/>
    <m/>
    <m/>
    <m/>
    <m/>
    <m/>
    <m/>
    <m/>
    <m/>
    <m/>
    <s v="N"/>
    <m/>
  </r>
  <r>
    <s v="TSG_MLDL_PF"/>
    <n v="4051300001"/>
    <n v="1115336369"/>
    <s v="675421-291"/>
    <s v="HP DL320e Gen8 E3-1220v2 Hot Plug JP Svr"/>
    <n v="85"/>
    <s v="4YOA42042234"/>
    <d v="2015-01-12T14:27:58"/>
    <d v="2015-01-16T00:00:00"/>
    <d v="2015-01-15T10:51:15"/>
    <d v="2015-01-13T21:00:00"/>
    <d v="2015-01-14T06:59:53"/>
    <d v="2015-01-15T09:16:43"/>
    <n v="36.299999237060547"/>
    <n v="50.299999237060547"/>
    <x v="0"/>
    <m/>
    <m/>
    <m/>
    <m/>
    <m/>
    <m/>
    <m/>
    <m/>
    <m/>
    <s v="N"/>
    <m/>
  </r>
  <r>
    <s v="TSG_MLDL_PF"/>
    <n v="4051299809"/>
    <n v="1115336025"/>
    <s v="736990-295"/>
    <s v="HP ML350pT08 E5-2609v2 SFF JP Svr/Promo"/>
    <n v="30"/>
    <s v="4YOA42042233"/>
    <d v="2015-01-12T14:22:57"/>
    <d v="2015-01-16T00:00:00"/>
    <d v="2015-01-14T23:34:04"/>
    <d v="2015-01-13T09:46:00"/>
    <d v="2015-01-13T11:37:52"/>
    <d v="2015-01-14T21:29:22"/>
    <n v="35.700000762939453"/>
    <n v="39.099998474121094"/>
    <x v="0"/>
    <m/>
    <m/>
    <m/>
    <m/>
    <m/>
    <m/>
    <m/>
    <m/>
    <m/>
    <s v="N"/>
    <m/>
  </r>
  <r>
    <s v="TSG_MLDL_PF"/>
    <n v="4051299801"/>
    <n v="1115336012"/>
    <s v="F1F34A"/>
    <s v="HP ML310e Gen8v2 E3-1220v3 SP1152JP Svr"/>
    <n v="30"/>
    <s v="4YOA42042232"/>
    <d v="2015-01-12T14:14:03"/>
    <d v="2015-01-15T00:00:00"/>
    <d v="2015-01-14T19:37:04"/>
    <d v="2015-01-13T09:46:00"/>
    <d v="2015-01-13T12:11:05"/>
    <d v="2015-01-14T17:09:57"/>
    <n v="31.399999618530273"/>
    <n v="35.099998474121094"/>
    <x v="0"/>
    <m/>
    <m/>
    <m/>
    <m/>
    <m/>
    <m/>
    <m/>
    <m/>
    <m/>
    <s v="N"/>
    <m/>
  </r>
  <r>
    <s v="TSG_MLDL_PF"/>
    <n v="4051299693"/>
    <n v="1115337448"/>
    <s v="725163-295"/>
    <s v="HP ML310eGen8 v2 E3-1240v3 HP JP Svr/Pro"/>
    <n v="8"/>
    <s v="4YOA42042231"/>
    <d v="2015-01-12T14:22:05"/>
    <d v="2015-01-16T00:00:00"/>
    <d v="2015-01-14T18:18:03"/>
    <d v="2015-01-13T21:00:00"/>
    <d v="2015-01-14T01:15:53"/>
    <d v="2015-01-14T14:21:37"/>
    <n v="17.399999618530273"/>
    <n v="33.799999237060547"/>
    <x v="0"/>
    <m/>
    <m/>
    <m/>
    <m/>
    <m/>
    <m/>
    <m/>
    <m/>
    <m/>
    <s v="N"/>
    <m/>
  </r>
  <r>
    <s v="TSG_MLDL_PF"/>
    <n v="4051297686"/>
    <n v="1115336337"/>
    <s v="736947-291"/>
    <s v="HP ML350pT08 E5-2609v2 LFF Entry JP Svr"/>
    <n v="7"/>
    <s v="4YOA42041845"/>
    <d v="2015-01-12T13:03:05"/>
    <d v="2015-01-15T00:00:00"/>
    <d v="2015-01-15T23:18:23"/>
    <d v="2015-01-13T21:00:00"/>
    <d v="2015-01-14T01:33:04"/>
    <d v="2015-01-15T21:40:41"/>
    <n v="48.700000762939453"/>
    <n v="62.799999237060547"/>
    <x v="1"/>
    <m/>
    <m/>
    <m/>
    <m/>
    <m/>
    <m/>
    <m/>
    <m/>
    <m/>
    <s v="N"/>
    <m/>
  </r>
  <r>
    <s v="TSG_MLDL_PF"/>
    <n v="4051297148"/>
    <n v="1115308302"/>
    <s v="D2A41A"/>
    <s v="HP DL320e Gen8 E3-1220Lv2 SP1080JP Svr"/>
    <n v="10"/>
    <s v="4YOA42039688"/>
    <d v="2015-01-12T00:48:51"/>
    <d v="2015-01-16T00:00:00"/>
    <d v="2015-01-15T01:25:04"/>
    <d v="2015-01-13T21:00:00"/>
    <d v="2015-01-14T06:58:32"/>
    <d v="2015-01-15T00:09:15"/>
    <n v="27.100000381469727"/>
    <n v="40.900001525878906"/>
    <x v="0"/>
    <m/>
    <m/>
    <m/>
    <m/>
    <m/>
    <m/>
    <m/>
    <m/>
    <m/>
    <s v="N"/>
    <m/>
  </r>
  <r>
    <s v="TSG_MLDL_PF"/>
    <n v="4051298100"/>
    <n v="1115328096"/>
    <s v="675421-291"/>
    <s v="HP DL320e Gen8 E3-1220v2 Hot Plug JP Svr"/>
    <n v="53"/>
    <s v="4YOA42037532"/>
    <d v="2015-01-11T00:24:22"/>
    <d v="2015-01-15T00:00:00"/>
    <d v="2015-01-15T20:40:19"/>
    <d v="2015-01-12T20:27:00"/>
    <d v="2015-01-12T21:26:59"/>
    <d v="2015-01-15T16:42:37"/>
    <n v="56.200000762939453"/>
    <n v="68.300003051757813"/>
    <x v="1"/>
    <m/>
    <m/>
    <m/>
    <m/>
    <m/>
    <m/>
    <m/>
    <m/>
    <m/>
    <s v="N"/>
    <m/>
  </r>
  <r>
    <s v="TSG_MLDL_PF"/>
    <n v="4051296677"/>
    <n v="1115334130"/>
    <s v="736992-295"/>
    <s v="HP ML350pT08 E5-2630v2 LFF JP Svr/Promo"/>
    <n v="1"/>
    <s v="4YOA42037529"/>
    <d v="2015-01-11T00:19:21"/>
    <d v="2015-01-15T00:00:00"/>
    <d v="2015-01-13T12:27:35"/>
    <d v="2015-01-12T20:27:00"/>
    <d v="2015-01-13T00:35:04"/>
    <d v="2015-01-13T10:11:17"/>
    <n v="1.7000000476837158"/>
    <n v="12.100000381469727"/>
    <x v="0"/>
    <m/>
    <m/>
    <m/>
    <m/>
    <m/>
    <m/>
    <m/>
    <m/>
    <m/>
    <s v="N"/>
    <m/>
  </r>
  <r>
    <s v="TSG_MLDL_PF"/>
    <n v="4051299805"/>
    <n v="1115336020"/>
    <s v="K1M64A"/>
    <s v="HP ML310e Gen8v2 E3-1241v3 SP1204JP Svr"/>
    <n v="3"/>
    <s v="4YOA42031904"/>
    <d v="2015-01-09T17:24:55"/>
    <d v="2015-01-14T00:00:00"/>
    <d v="2015-01-12T18:15:22"/>
    <d v="2015-01-10T09:30:00"/>
    <d v="2015-01-10T12:50:41"/>
    <d v="2015-01-12T15:53:41"/>
    <n v="23"/>
    <n v="39.099998474121094"/>
    <x v="0"/>
    <m/>
    <m/>
    <m/>
    <m/>
    <m/>
    <m/>
    <m/>
    <m/>
    <m/>
    <s v="N"/>
    <m/>
  </r>
  <r>
    <s v="TSG_MLDL_PF"/>
    <n v="4051299024"/>
    <n v="1115328822"/>
    <s v="776275-291"/>
    <s v="HP ML150 Gen9 E5-2609 v3 Base JP Svr"/>
    <n v="10"/>
    <s v="4YOA42030091"/>
    <d v="2015-01-09T12:17:47"/>
    <d v="2015-01-14T00:00:00"/>
    <d v="2015-01-13T13:47:38"/>
    <d v="2015-01-10T01:10:00"/>
    <d v="2015-01-10T09:49:09"/>
    <d v="2015-01-13T12:16:18"/>
    <n v="35.099998474121094"/>
    <n v="49.5"/>
    <x v="0"/>
    <m/>
    <m/>
    <m/>
    <m/>
    <m/>
    <m/>
    <m/>
    <m/>
    <m/>
    <s v="N"/>
    <m/>
  </r>
  <r>
    <s v="TSG_MLDL_PF"/>
    <n v="4051299023"/>
    <n v="1115328821"/>
    <s v="736947-291"/>
    <s v="HP ML350pT08 E5-2609v2 LFF Entry JP Svr"/>
    <n v="11"/>
    <s v="4YOA42030090"/>
    <d v="2015-01-09T12:17:47"/>
    <d v="2015-01-14T00:00:00"/>
    <d v="2015-01-12T20:06:24"/>
    <d v="2015-01-10T01:10:00"/>
    <d v="2015-01-10T09:34:06"/>
    <d v="2015-01-12T17:54:35"/>
    <n v="31.299999237060547"/>
    <n v="44.200000762939453"/>
    <x v="0"/>
    <m/>
    <m/>
    <m/>
    <m/>
    <m/>
    <m/>
    <m/>
    <m/>
    <m/>
    <s v="N"/>
    <m/>
  </r>
  <r>
    <s v="TSG_MLDL_PF"/>
    <n v="4051299020"/>
    <n v="1115328816"/>
    <s v="725162-295"/>
    <s v="HP ML310eGen8 v2 E3-1220v3 HP JP Svr/Pro"/>
    <n v="60"/>
    <s v="4YOA42030089"/>
    <d v="2015-01-09T12:21:45"/>
    <d v="2015-01-14T00:00:00"/>
    <d v="2015-01-12T20:06:23"/>
    <d v="2015-01-10T09:30:00"/>
    <d v="2015-01-10T11:53:20"/>
    <d v="2015-01-12T17:48:16"/>
    <n v="23"/>
    <n v="44.200000762939453"/>
    <x v="0"/>
    <m/>
    <m/>
    <m/>
    <m/>
    <m/>
    <m/>
    <m/>
    <m/>
    <m/>
    <s v="N"/>
    <m/>
  </r>
  <r>
    <s v="TSG_MLDL_PF"/>
    <n v="4051299017"/>
    <n v="1115328814"/>
    <s v="780854-295"/>
    <s v="HP ML150 Gen9 E5-2603 v3 LFF JP Svr/Prom"/>
    <n v="10"/>
    <s v="4YOA42030088"/>
    <d v="2015-01-09T12:17:40"/>
    <d v="2015-01-14T00:00:00"/>
    <d v="2015-01-13T12:27:35"/>
    <d v="2015-01-10T01:10:00"/>
    <d v="2015-01-10T10:05:12"/>
    <d v="2015-01-13T10:10:32"/>
    <n v="33"/>
    <n v="48.200000762939453"/>
    <x v="0"/>
    <m/>
    <m/>
    <m/>
    <m/>
    <m/>
    <m/>
    <m/>
    <m/>
    <m/>
    <s v="N"/>
    <m/>
  </r>
  <r>
    <s v="TSG_MLDL_PF"/>
    <n v="4051299011"/>
    <n v="1115328107"/>
    <s v="780855-295"/>
    <s v="HP ML150 Gen9 E5-2603 v3 SFF JP Svr/Prom"/>
    <n v="5"/>
    <s v="4YOA42030087"/>
    <d v="2015-01-09T12:16:40"/>
    <d v="2015-01-14T00:00:00"/>
    <d v="2015-01-12T16:08:20"/>
    <d v="2015-01-09T22:55:00"/>
    <d v="2015-01-10T01:54:24"/>
    <d v="2015-01-12T14:14:11"/>
    <n v="33.599998474121094"/>
    <n v="44.200000762939453"/>
    <x v="0"/>
    <m/>
    <m/>
    <m/>
    <m/>
    <m/>
    <m/>
    <m/>
    <m/>
    <m/>
    <s v="N"/>
    <m/>
  </r>
  <r>
    <s v="TSG_MLDL_PF"/>
    <n v="4051299008"/>
    <n v="1115328104"/>
    <s v="736990-295"/>
    <s v="HP ML350pT08 E5-2609v2 SFF JP Svr/Promo"/>
    <n v="68"/>
    <s v="4YOA42030086"/>
    <d v="2015-01-09T12:24:43"/>
    <d v="2015-01-14T00:00:00"/>
    <d v="2015-01-13T17:15:39"/>
    <d v="2015-01-10T01:10:00"/>
    <d v="2015-01-10T03:57:15"/>
    <d v="2015-01-13T14:49:09"/>
    <n v="37.700000762939453"/>
    <n v="52.799999237060547"/>
    <x v="0"/>
    <m/>
    <m/>
    <m/>
    <m/>
    <m/>
    <m/>
    <m/>
    <m/>
    <m/>
    <s v="N"/>
    <m/>
  </r>
  <r>
    <s v="TSG_MLDL_PF"/>
    <n v="4051297896"/>
    <n v="1115328459"/>
    <s v="765819-291"/>
    <s v="HP ML350T09 E5-2609v3 LFF Entry JP Svr"/>
    <n v="3"/>
    <s v="4YOA42030085"/>
    <d v="2015-01-09T12:16:40"/>
    <d v="2015-01-14T00:00:00"/>
    <d v="2015-01-13T12:27:35"/>
    <d v="2015-01-09T22:55:00"/>
    <d v="2015-01-10T02:10:14"/>
    <d v="2015-01-13T10:45:33"/>
    <n v="35.799999237060547"/>
    <n v="48.200000762939453"/>
    <x v="0"/>
    <m/>
    <m/>
    <m/>
    <m/>
    <m/>
    <m/>
    <m/>
    <m/>
    <m/>
    <s v="N"/>
    <m/>
  </r>
  <r>
    <s v="TSG_MLDL_PF"/>
    <n v="4051298910"/>
    <n v="1115327244"/>
    <s v="749360-295"/>
    <s v="HP ML350eGen8v2 E5-2420v2 JP Svr/Promo"/>
    <n v="13"/>
    <s v="4YOA42026502"/>
    <d v="2015-01-08T20:53:33"/>
    <d v="2015-01-13T00:00:00"/>
    <d v="2015-01-12T18:15:22"/>
    <d v="2015-01-09T15:38:00"/>
    <d v="2015-01-09T22:04:25"/>
    <d v="2015-01-12T15:06:04"/>
    <n v="40.900001525878906"/>
    <n v="59.599998474121094"/>
    <x v="0"/>
    <m/>
    <m/>
    <m/>
    <m/>
    <m/>
    <m/>
    <m/>
    <m/>
    <m/>
    <s v="N"/>
    <m/>
  </r>
  <r>
    <s v="TSG_MLDL_PF"/>
    <n v="4051298099"/>
    <n v="1115328097"/>
    <s v="780856-295"/>
    <s v="HP ML150 Gen9 E5-2620v3 LFF JP Svr/Promo"/>
    <n v="5"/>
    <s v="4YOA42026501"/>
    <d v="2015-01-08T20:52:26"/>
    <d v="2015-01-13T00:00:00"/>
    <d v="2015-01-12T16:08:21"/>
    <d v="2015-01-09T15:38:00"/>
    <d v="2015-01-09T22:05:55"/>
    <d v="2015-01-12T14:37:07"/>
    <n v="40.900001525878906"/>
    <n v="59.599998474121094"/>
    <x v="0"/>
    <m/>
    <m/>
    <m/>
    <m/>
    <m/>
    <m/>
    <m/>
    <m/>
    <m/>
    <s v="N"/>
    <m/>
  </r>
  <r>
    <s v="TSG_MLDL_PF"/>
    <n v="4051298098"/>
    <n v="1115328092"/>
    <s v="778165-295"/>
    <s v="HP ML350T09 E5-2630v3 SFF JP Svr/Promo"/>
    <n v="5"/>
    <s v="4YOA42026500"/>
    <d v="2015-01-08T20:56:32"/>
    <d v="2015-01-14T00:00:00"/>
    <d v="2015-01-12T20:06:23"/>
    <d v="2015-01-09T15:38:00"/>
    <d v="2015-01-09T22:16:13"/>
    <d v="2015-01-12T17:45:04"/>
    <n v="40.900001525878906"/>
    <n v="59.599998474121094"/>
    <x v="0"/>
    <m/>
    <m/>
    <m/>
    <m/>
    <m/>
    <m/>
    <m/>
    <m/>
    <m/>
    <s v="N"/>
    <m/>
  </r>
  <r>
    <s v="TSG_MLDL_PF"/>
    <n v="4051297893"/>
    <n v="1115328456"/>
    <s v="K1M64A"/>
    <s v="HP ML310e Gen8v2 E3-1241v3 SP1204JP Svr"/>
    <n v="22"/>
    <s v="4YOA42026498"/>
    <d v="2015-01-08T20:54:27"/>
    <d v="2015-01-13T00:00:00"/>
    <d v="2015-01-12T18:15:22"/>
    <d v="2015-01-09T15:38:00"/>
    <d v="2015-01-09T21:35:09"/>
    <d v="2015-01-12T14:59:31"/>
    <n v="40.900001525878906"/>
    <n v="59.599998474121094"/>
    <x v="0"/>
    <m/>
    <m/>
    <m/>
    <m/>
    <m/>
    <m/>
    <m/>
    <m/>
    <m/>
    <s v="N"/>
    <m/>
  </r>
  <r>
    <s v="TSG_MLDL_PF"/>
    <n v="4051297891"/>
    <n v="1115328453"/>
    <s v="778167-295"/>
    <s v="HP ML350T09 E5-2650v3 SFF JP Svr/Promo"/>
    <n v="2"/>
    <s v="4YOA42026497"/>
    <d v="2015-01-08T20:56:26"/>
    <d v="2015-01-14T00:00:00"/>
    <d v="2015-01-12T18:15:22"/>
    <d v="2015-01-09T15:38:00"/>
    <d v="2015-01-09T22:14:13"/>
    <d v="2015-01-12T15:33:49"/>
    <n v="40.900001525878906"/>
    <n v="59.599998474121094"/>
    <x v="0"/>
    <m/>
    <m/>
    <m/>
    <m/>
    <m/>
    <m/>
    <m/>
    <m/>
    <m/>
    <s v="N"/>
    <m/>
  </r>
  <r>
    <s v="TSG_MLDL_PF"/>
    <n v="313912799"/>
    <n v="1115331053"/>
    <s v="653200-B21 #AKM"/>
    <s v="HP DL380p Gen8 8-SFF CTO Server"/>
    <n v="19"/>
    <s v="4YLT42051064"/>
    <d v="2015-01-14T01:57:40"/>
    <d v="2015-01-20T00:00:00"/>
    <d v="2015-01-17T08:43:45"/>
    <d v="2015-01-15T23:03:00"/>
    <d v="2015-01-16T07:50:24"/>
    <d v="2015-01-17T06:27:33"/>
    <n v="31.399999618530273"/>
    <n v="78.800003051757813"/>
    <x v="2"/>
    <m/>
    <m/>
    <m/>
    <m/>
    <m/>
    <m/>
    <m/>
    <m/>
    <m/>
    <s v="N"/>
    <m/>
  </r>
  <r>
    <s v="TSG_MLDL_PF"/>
    <n v="313913702"/>
    <n v="1115331061"/>
    <s v="653200-B21 #AKM"/>
    <s v="HP DL380p Gen8 8-SFF CTO Server"/>
    <n v="1"/>
    <s v="4Y9T42051069"/>
    <d v="2015-01-14T01:53:39"/>
    <d v="2015-01-20T00:00:00"/>
    <d v="2015-01-17T07:32:44"/>
    <d v="2015-01-15T23:03:00"/>
    <d v="2015-01-15T12:00:44"/>
    <d v="2015-01-17T04:43:12"/>
    <n v="29.700000762939453"/>
    <n v="77.699996948242188"/>
    <x v="2"/>
    <m/>
    <m/>
    <m/>
    <m/>
    <m/>
    <m/>
    <m/>
    <m/>
    <m/>
    <s v="N"/>
    <m/>
  </r>
  <r>
    <s v="TSG_MLDL_PF"/>
    <n v="313888360"/>
    <n v="1115295452"/>
    <s v="653200-B21 #AKM"/>
    <s v="HP DL380p Gen8 8-SFF CTO Server"/>
    <n v="2"/>
    <s v="4XNT42051028"/>
    <d v="2015-01-14T01:45:39"/>
    <d v="2015-01-20T00:00:00"/>
    <d v="2015-01-17T04:22:44"/>
    <d v="2015-01-15T23:03:00"/>
    <d v="2015-01-16T09:15:48"/>
    <d v="2015-01-17T02:28:17"/>
    <n v="27.399999618530273"/>
    <n v="74.599998474121094"/>
    <x v="2"/>
    <m/>
    <m/>
    <m/>
    <m/>
    <m/>
    <m/>
    <m/>
    <m/>
    <m/>
    <s v="N"/>
    <m/>
  </r>
  <r>
    <s v="TSG_MLDL_PF"/>
    <n v="313888908"/>
    <n v="1115296224"/>
    <s v="653200-B21 #AKM"/>
    <s v="HP DL380p Gen8 8-SFF CTO Server"/>
    <n v="2"/>
    <s v="4XNT42043399"/>
    <d v="2015-01-12T17:57:11"/>
    <d v="2015-01-16T00:00:00"/>
    <d v="2015-01-14T16:43:01"/>
    <d v="2015-01-13T15:30:00"/>
    <d v="2015-01-13T22:31:45"/>
    <d v="2015-01-14T14:02:12"/>
    <n v="22.5"/>
    <n v="32.200000762939453"/>
    <x v="0"/>
    <m/>
    <m/>
    <m/>
    <m/>
    <m/>
    <m/>
    <m/>
    <m/>
    <m/>
    <s v="N"/>
    <m/>
  </r>
  <r>
    <s v="TSG_MLDL_PF"/>
    <n v="313888911"/>
    <n v="1115296227"/>
    <s v="653200-B21 #AKM"/>
    <s v="HP DL380p Gen8 8-SFF CTO Server"/>
    <n v="3"/>
    <s v="4XMT42051036"/>
    <d v="2015-01-14T01:47:40"/>
    <d v="2015-01-20T00:00:00"/>
    <d v="2015-01-17T03:50:42"/>
    <d v="2015-01-15T23:03:00"/>
    <d v="2015-01-16T10:27:27"/>
    <d v="2015-01-17T01:00:06"/>
    <n v="26"/>
    <n v="74.099998474121094"/>
    <x v="2"/>
    <m/>
    <m/>
    <m/>
    <m/>
    <m/>
    <m/>
    <m/>
    <m/>
    <m/>
    <s v="N"/>
    <m/>
  </r>
  <r>
    <s v="TSG_MLDL_PF"/>
    <n v="313913506"/>
    <n v="1115330187"/>
    <s v="728551-B21 #AKM"/>
    <s v="HP DL580 Gen8 CTO Svr"/>
    <n v="2"/>
    <s v="4XMT42045587"/>
    <d v="2015-01-13T01:57:09"/>
    <d v="2015-01-19T00:00:00"/>
    <d v="2015-01-15T12:11:14"/>
    <d v="2015-01-14T11:30:00"/>
    <d v="2015-01-14T19:40:34"/>
    <d v="2015-01-15T09:51:05"/>
    <n v="22.399999618530273"/>
    <n v="51.700000762939453"/>
    <x v="0"/>
    <m/>
    <m/>
    <m/>
    <m/>
    <m/>
    <m/>
    <m/>
    <m/>
    <m/>
    <s v="N"/>
    <m/>
  </r>
  <r>
    <s v="TSG_MLDL_PF"/>
    <n v="313930885"/>
    <n v="1115357673"/>
    <s v="769503-AA1"/>
    <s v="HP DL160 Gen9 E5-2603v3 LFF Ety CN Svr"/>
    <n v="1"/>
    <s v="4XAT42055573"/>
    <d v="2015-01-14T19:41:00"/>
    <d v="2015-01-19T00:00:00"/>
    <d v="2015-01-16T15:55:34"/>
    <d v="2015-01-15T14:38:00"/>
    <d v="2015-01-15T22:11:25"/>
    <d v="2015-01-16T13:13:56"/>
    <n v="22.600000381469727"/>
    <n v="44.200000762939453"/>
    <x v="0"/>
    <m/>
    <m/>
    <m/>
    <m/>
    <m/>
    <m/>
    <m/>
    <m/>
    <m/>
    <s v="N"/>
    <m/>
  </r>
  <r>
    <s v="TSG_MLDL_PF"/>
    <n v="313888430"/>
    <n v="1115294373"/>
    <s v="728551-B21 #AKM"/>
    <s v="HP DL580 Gen8 CTO Svr"/>
    <n v="2"/>
    <s v="4XAT42045548"/>
    <d v="2015-01-13T01:56:10"/>
    <d v="2015-01-19T00:00:00"/>
    <d v="2015-01-15T09:48:11"/>
    <d v="2015-01-14T11:30:00"/>
    <d v="2015-01-14T15:16:37"/>
    <d v="2015-01-15T07:38:43"/>
    <n v="20.100000381469727"/>
    <n v="49.299999237060547"/>
    <x v="0"/>
    <m/>
    <m/>
    <m/>
    <m/>
    <m/>
    <m/>
    <m/>
    <m/>
    <m/>
    <s v="N"/>
    <m/>
  </r>
  <r>
    <s v="TSG_MLDL_PF"/>
    <n v="313885413"/>
    <n v="1115290299"/>
    <s v="719064-B21 #AKM"/>
    <s v="HP DL380 Gen9 8SFF CTO Server"/>
    <n v="58"/>
    <s v="4XAT42045542"/>
    <d v="2015-01-13T02:01:32"/>
    <d v="2015-01-19T00:00:00"/>
    <d v="2015-01-16T11:55:33"/>
    <d v="2015-01-14T03:20:00"/>
    <d v="2015-01-14T08:41:52"/>
    <d v="2015-01-16T07:03:24"/>
    <n v="51.700000762939453"/>
    <n v="75.400001525878906"/>
    <x v="1"/>
    <m/>
    <m/>
    <m/>
    <m/>
    <m/>
    <m/>
    <m/>
    <m/>
    <m/>
    <s v="N"/>
    <s v="Y"/>
  </r>
  <r>
    <s v="TSG_MLDL_PF"/>
    <n v="313885413"/>
    <n v="1115290298"/>
    <s v="719064-B21 #AKM"/>
    <s v="HP DL380 Gen9 8SFF CTO Server"/>
    <n v="30"/>
    <s v="4XAT42045542"/>
    <d v="2015-01-13T01:58:18"/>
    <d v="2015-01-19T00:00:00"/>
    <d v="2015-01-16T11:55:33"/>
    <d v="2015-01-14T11:30:00"/>
    <d v="2015-01-14T15:18:39"/>
    <d v="2015-01-16T07:31:42"/>
    <n v="44"/>
    <n v="75.400001525878906"/>
    <x v="1"/>
    <m/>
    <m/>
    <m/>
    <m/>
    <m/>
    <m/>
    <m/>
    <m/>
    <m/>
    <s v="N"/>
    <s v="Y"/>
  </r>
  <r>
    <s v="TSG_MLDL_PF"/>
    <n v="313888907"/>
    <n v="1115296220"/>
    <s v="653200-B21 #AKM"/>
    <s v="HP DL380p Gen8 8-SFF CTO Server"/>
    <n v="1"/>
    <s v="4WQT42043398"/>
    <d v="2015-01-12T17:57:02"/>
    <d v="2015-01-16T00:00:00"/>
    <d v="2015-01-14T09:31:53"/>
    <d v="2015-01-13T15:30:00"/>
    <d v="2015-01-13T18:11:44"/>
    <d v="2015-01-14T06:43:56"/>
    <n v="15.199999809265137"/>
    <n v="25"/>
    <x v="0"/>
    <m/>
    <m/>
    <m/>
    <m/>
    <m/>
    <m/>
    <m/>
    <m/>
    <m/>
    <s v="N"/>
    <m/>
  </r>
  <r>
    <s v="TSG_MLDL_PF"/>
    <n v="313913701"/>
    <n v="1115331060"/>
    <s v="653200-B21 #AKM"/>
    <s v="HP DL380p Gen8 8-SFF CTO Server"/>
    <n v="1"/>
    <s v="4W6T42051068"/>
    <d v="2015-01-14T01:53:39"/>
    <d v="2015-01-20T00:00:00"/>
    <d v="2015-01-15T20:56:21"/>
    <d v="2015-01-14T21:10:00"/>
    <d v="2015-01-15T02:03:48"/>
    <d v="2015-01-15T19:11:19"/>
    <n v="22"/>
    <n v="43"/>
    <x v="0"/>
    <m/>
    <m/>
    <m/>
    <m/>
    <m/>
    <m/>
    <m/>
    <m/>
    <m/>
    <s v="N"/>
    <m/>
  </r>
  <r>
    <s v="TSG_MLDL_PF"/>
    <n v="313913703"/>
    <n v="1115331062"/>
    <s v="653200-B21 #AKM"/>
    <s v="HP DL380p Gen8 8-SFF CTO Server"/>
    <n v="20"/>
    <s v="4W5T42051070"/>
    <d v="2015-01-14T01:59:39"/>
    <d v="2015-01-20T00:00:00"/>
    <d v="2015-01-17T08:43:45"/>
    <d v="2015-01-15T23:03:00"/>
    <d v="2015-01-16T07:26:58"/>
    <d v="2015-01-17T06:45:00"/>
    <n v="31.700000762939453"/>
    <n v="78.699996948242188"/>
    <x v="2"/>
    <m/>
    <m/>
    <m/>
    <m/>
    <m/>
    <m/>
    <m/>
    <m/>
    <m/>
    <s v="N"/>
    <m/>
  </r>
  <r>
    <s v="TSG_MLDL_PF"/>
    <n v="313888658"/>
    <n v="1115295199"/>
    <s v="653200-B21 #AKM"/>
    <s v="HP DL380p Gen8 8-SFF CTO Server"/>
    <n v="13"/>
    <s v="4TYT42051030"/>
    <d v="2015-01-14T01:49:39"/>
    <d v="2015-01-20T00:00:00"/>
    <d v="2015-01-17T09:47:46"/>
    <d v="2015-01-15T23:03:00"/>
    <d v="2015-01-16T07:58:47"/>
    <d v="2015-01-17T07:30:19"/>
    <n v="32.5"/>
    <n v="80"/>
    <x v="2"/>
    <m/>
    <m/>
    <m/>
    <m/>
    <m/>
    <m/>
    <m/>
    <m/>
    <m/>
    <s v="N"/>
    <m/>
  </r>
  <r>
    <s v="TSG_MLDL_PF"/>
    <n v="313888751"/>
    <n v="1115296036"/>
    <s v="653200-B21 #AKM"/>
    <s v="HP DL380p Gen8 8-SFF CTO Server"/>
    <n v="6"/>
    <s v="4TYT42042694"/>
    <d v="2015-01-12T16:05:59"/>
    <d v="2015-01-16T00:00:00"/>
    <d v="2015-01-14T16:43:01"/>
    <d v="2015-01-13T15:30:00"/>
    <d v="2015-01-13T17:41:37"/>
    <d v="2015-01-14T13:28:52"/>
    <n v="22"/>
    <n v="32.200000762939453"/>
    <x v="0"/>
    <m/>
    <m/>
    <m/>
    <m/>
    <m/>
    <m/>
    <m/>
    <m/>
    <m/>
    <s v="N"/>
    <m/>
  </r>
  <r>
    <s v="TSG_MLDL_PF"/>
    <n v="313918554"/>
    <n v="1115340040"/>
    <s v="766982-B21 #AKM"/>
    <s v="HP DL380z Gen8 8 SFF CTO Virtual WS"/>
    <n v="2"/>
    <s v="4TST42047155"/>
    <d v="2015-01-13T11:45:21"/>
    <d v="2015-01-16T00:00:00"/>
    <d v="2015-01-16T15:55:34"/>
    <d v="2015-01-14T17:15:00"/>
    <d v="2015-01-15T00:47:19"/>
    <d v="2015-01-16T13:14:35"/>
    <n v="44"/>
    <n v="76.199996948242188"/>
    <x v="1"/>
    <m/>
    <m/>
    <m/>
    <m/>
    <m/>
    <m/>
    <m/>
    <m/>
    <m/>
    <s v="N"/>
    <m/>
  </r>
  <r>
    <s v="TSG_MLDL_PF"/>
    <n v="313900051"/>
    <n v="1115309991"/>
    <s v="728551-B21 #AKM"/>
    <s v="HP DL580 Gen8 CTO Svr"/>
    <n v="3"/>
    <s v="4TJT42051053"/>
    <d v="2015-01-14T01:49:39"/>
    <d v="2015-01-20T00:00:00"/>
    <d v="2015-01-18T04:34:00"/>
    <d v="2015-01-15T14:38:00"/>
    <d v="2015-01-15T19:44:31"/>
    <d v="2015-01-17T07:38:17"/>
    <n v="41"/>
    <n v="98.699996948242188"/>
    <x v="2"/>
    <m/>
    <m/>
    <m/>
    <m/>
    <m/>
    <m/>
    <m/>
    <m/>
    <m/>
    <s v="N"/>
    <m/>
  </r>
  <r>
    <s v="TSG_MLDL_PF"/>
    <n v="313897089"/>
    <n v="1115308980"/>
    <s v="K8J79A"/>
    <s v="HP DL380e Gen8 E5-2420 TC0914 Spcl Svr"/>
    <n v="73"/>
    <s v="4TJT42048574"/>
    <d v="2015-01-13T17:08:30"/>
    <d v="2015-01-20T00:00:00"/>
    <d v="2015-01-15T12:11:14"/>
    <d v="2015-01-13T22:40:00"/>
    <d v="2015-01-14T00:10:15"/>
    <d v="2015-01-15T10:24:20"/>
    <n v="35.700000762939453"/>
    <n v="43"/>
    <x v="0"/>
    <m/>
    <m/>
    <m/>
    <m/>
    <m/>
    <m/>
    <m/>
    <m/>
    <m/>
    <s v="Y"/>
    <m/>
  </r>
  <r>
    <s v="TSG_MLDL_PF"/>
    <n v="313899523"/>
    <n v="1115311644"/>
    <s v="F4M10A"/>
    <s v="HP OEM DL360pGen8 Avaya B008906 Svr"/>
    <n v="9"/>
    <s v="4TJT42031851"/>
    <d v="2015-01-09T17:15:53"/>
    <d v="2015-01-13T00:00:00"/>
    <d v="2015-01-12T14:01:16"/>
    <d v="2015-01-10T09:30:00"/>
    <d v="2015-01-10T12:36:31"/>
    <d v="2015-01-11T00:23:52"/>
    <n v="14.899999618530273"/>
    <n v="39.200000762939453"/>
    <x v="0"/>
    <m/>
    <m/>
    <m/>
    <m/>
    <m/>
    <m/>
    <m/>
    <m/>
    <m/>
    <s v="N"/>
    <s v="Y"/>
  </r>
  <r>
    <s v="TSG_MLDL_PF"/>
    <n v="313899523"/>
    <n v="1115311646"/>
    <s v="F4X67A"/>
    <s v="HP OEM DL360pGen8 Avaya B008914 Svr"/>
    <n v="2"/>
    <s v="4TJT42031851"/>
    <d v="2015-01-09T17:14:47"/>
    <d v="2015-01-13T00:00:00"/>
    <d v="2015-01-12T14:01:17"/>
    <d v="2015-01-10T09:30:00"/>
    <d v="2015-01-10T12:57:57"/>
    <d v="2015-01-11T01:26:11"/>
    <n v="15.899999618530273"/>
    <n v="39.299999237060547"/>
    <x v="0"/>
    <m/>
    <m/>
    <m/>
    <m/>
    <m/>
    <m/>
    <m/>
    <m/>
    <m/>
    <s v="N"/>
    <s v="Y"/>
  </r>
  <r>
    <s v="TSG_MLDL_PF"/>
    <n v="313899523"/>
    <n v="1115311647"/>
    <s v="F4X68A"/>
    <s v="HP OEM DL360pGen8 Avaya B008899 Svr"/>
    <n v="1"/>
    <s v="4TJT42031851"/>
    <d v="2015-01-09T17:14:56"/>
    <d v="2015-01-13T00:00:00"/>
    <d v="2015-01-12T14:01:17"/>
    <d v="2015-01-10T09:30:00"/>
    <d v="2015-01-10T12:30:07"/>
    <d v="2015-01-11T01:43:31"/>
    <n v="16.200000762939453"/>
    <n v="39.299999237060547"/>
    <x v="0"/>
    <m/>
    <m/>
    <m/>
    <m/>
    <m/>
    <m/>
    <m/>
    <m/>
    <m/>
    <s v="N"/>
    <s v="Y"/>
  </r>
  <r>
    <s v="TSG_MLDL_PF"/>
    <n v="313899523"/>
    <n v="1115311645"/>
    <s v="F4X59A"/>
    <s v="HP OEM DL360pGen8 Avaya B008909 Svr"/>
    <n v="1"/>
    <s v="4TJT42031851"/>
    <d v="2015-01-09T17:14:56"/>
    <d v="2015-01-13T00:00:00"/>
    <d v="2015-01-12T14:01:16"/>
    <d v="2015-01-10T09:30:00"/>
    <d v="2015-01-10T13:55:26"/>
    <d v="2015-01-12T11:41:17"/>
    <n v="23"/>
    <n v="39.299999237060547"/>
    <x v="0"/>
    <m/>
    <m/>
    <m/>
    <m/>
    <m/>
    <m/>
    <m/>
    <m/>
    <m/>
    <s v="N"/>
    <s v="Y"/>
  </r>
  <r>
    <s v="TSG_MLDL_PF"/>
    <n v="313878798"/>
    <n v="1115288224"/>
    <s v="728551-B21 #AKM"/>
    <s v="HP DL580 Gen8 CTO Svr"/>
    <n v="4"/>
    <s v="4T5T42058649"/>
    <d v="2015-01-15T09:32:13"/>
    <d v="2015-01-20T00:00:00"/>
    <d v="2015-01-18T02:10:57"/>
    <d v="2015-01-16T13:10:00"/>
    <d v="2015-01-16T17:46:14"/>
    <d v="2015-01-17T23:56:39"/>
    <n v="34.799999237060547"/>
    <n v="64.699996948242188"/>
    <x v="2"/>
    <m/>
    <m/>
    <m/>
    <m/>
    <m/>
    <m/>
    <m/>
    <m/>
    <m/>
    <s v="N"/>
    <m/>
  </r>
  <r>
    <s v="TSG_MLDL_PF"/>
    <n v="313930191"/>
    <n v="1115360715"/>
    <s v="728551-B21 #AKM"/>
    <s v="HP DL580 Gen8 CTO Svr"/>
    <n v="3"/>
    <s v="4SZT42060159"/>
    <d v="2015-01-15T14:07:21"/>
    <d v="2015-01-20T00:00:00"/>
    <d v="2015-01-18T09:31:02"/>
    <d v="2015-01-16T13:10:00"/>
    <d v="2015-01-16T18:10:08"/>
    <d v="2015-01-17T16:57:35"/>
    <n v="27.799999237060547"/>
    <n v="66.400001525878906"/>
    <x v="2"/>
    <m/>
    <m/>
    <m/>
    <m/>
    <m/>
    <m/>
    <m/>
    <m/>
    <m/>
    <s v="N"/>
    <s v="Y"/>
  </r>
  <r>
    <s v="TSG_MLDL_PF"/>
    <n v="313930191"/>
    <n v="1115355710"/>
    <s v="719064-B21 #AKM"/>
    <s v="HP DL380 Gen9 8SFF CTO Server"/>
    <n v="4"/>
    <s v="4SZT42060159"/>
    <d v="2015-01-15T14:02:21"/>
    <d v="2015-01-20T00:00:00"/>
    <d v="2015-01-18T09:31:02"/>
    <d v="2015-01-16T13:10:00"/>
    <d v="2015-01-16T18:40:25"/>
    <d v="2015-01-17T19:51:01"/>
    <n v="30.700000762939453"/>
    <n v="66.5"/>
    <x v="2"/>
    <m/>
    <m/>
    <m/>
    <m/>
    <m/>
    <m/>
    <m/>
    <m/>
    <m/>
    <s v="N"/>
    <s v="Y"/>
  </r>
  <r>
    <s v="TSG_MLDL_PF"/>
    <n v="313930191"/>
    <n v="1115355709"/>
    <s v="719064-B21 #AKM"/>
    <s v="HP DL380 Gen9 8SFF CTO Server"/>
    <n v="2"/>
    <s v="4SZT42060159"/>
    <d v="2015-01-15T14:01:21"/>
    <d v="2015-01-20T00:00:00"/>
    <d v="2015-01-18T09:31:02"/>
    <d v="2015-01-16T13:10:00"/>
    <d v="2015-01-16T18:26:22"/>
    <d v="2015-01-18T01:51:08"/>
    <n v="36.700000762939453"/>
    <n v="66.5"/>
    <x v="2"/>
    <m/>
    <m/>
    <m/>
    <m/>
    <m/>
    <m/>
    <m/>
    <m/>
    <m/>
    <s v="N"/>
    <s v="Y"/>
  </r>
  <r>
    <s v="TSG_MLDL_PF"/>
    <n v="313930191"/>
    <n v="1115360714"/>
    <s v="755258-B21 #AKM"/>
    <s v="HP DL360 Gen9 8SFF CTO Server"/>
    <n v="2"/>
    <s v="4SZT42060159"/>
    <d v="2015-01-15T14:07:22"/>
    <d v="2015-01-20T00:00:00"/>
    <d v="2015-01-18T09:31:02"/>
    <d v="2015-01-16T13:10:00"/>
    <d v="2015-01-16T18:16:44"/>
    <d v="2015-01-18T03:18:27"/>
    <n v="38.099998474121094"/>
    <n v="66.400001525878906"/>
    <x v="2"/>
    <m/>
    <m/>
    <m/>
    <m/>
    <m/>
    <m/>
    <m/>
    <m/>
    <m/>
    <s v="N"/>
    <s v="Y"/>
  </r>
  <r>
    <s v="TSG_MLDL_PF"/>
    <n v="313930191"/>
    <n v="1115360713"/>
    <s v="755258-B21 #AKM"/>
    <s v="HP DL360 Gen9 8SFF CTO Server"/>
    <n v="6"/>
    <s v="4SZT42060159"/>
    <d v="2015-01-15T14:08:21"/>
    <d v="2015-01-20T00:00:00"/>
    <d v="2015-01-18T09:31:02"/>
    <d v="2015-01-16T13:10:00"/>
    <d v="2015-01-16T18:30:37"/>
    <d v="2015-01-18T04:05:35"/>
    <n v="38.900001525878906"/>
    <n v="66.400001525878906"/>
    <x v="2"/>
    <m/>
    <m/>
    <m/>
    <m/>
    <m/>
    <m/>
    <m/>
    <m/>
    <m/>
    <s v="N"/>
    <s v="Y"/>
  </r>
  <r>
    <s v="TSG_MLDL_PF"/>
    <n v="313930191"/>
    <n v="1115360712"/>
    <s v="755258-B21 #AKM"/>
    <s v="HP DL360 Gen9 8SFF CTO Server"/>
    <n v="11"/>
    <s v="4SZT42060159"/>
    <d v="2015-01-15T14:02:21"/>
    <d v="2015-01-20T00:00:00"/>
    <d v="2015-01-18T09:31:02"/>
    <d v="2015-01-16T13:10:00"/>
    <d v="2015-01-16T18:46:35"/>
    <d v="2015-01-18T04:12:21"/>
    <n v="39"/>
    <n v="66.5"/>
    <x v="2"/>
    <m/>
    <m/>
    <m/>
    <m/>
    <m/>
    <m/>
    <m/>
    <m/>
    <m/>
    <s v="N"/>
    <s v="Y"/>
  </r>
  <r>
    <s v="TSG_MLDL_PF"/>
    <n v="313930191"/>
    <n v="1115355711"/>
    <s v="719064-B21 #AKM"/>
    <s v="HP DL380 Gen9 8SFF CTO Server"/>
    <n v="4"/>
    <s v="4SZT42060159"/>
    <d v="2015-01-15T14:02:21"/>
    <d v="2015-01-20T00:00:00"/>
    <d v="2015-01-18T09:31:02"/>
    <d v="2015-01-16T13:10:00"/>
    <d v="2015-01-16T18:21:08"/>
    <d v="2015-01-18T06:30:53"/>
    <n v="41.299999237060547"/>
    <n v="66.5"/>
    <x v="2"/>
    <m/>
    <m/>
    <m/>
    <m/>
    <m/>
    <m/>
    <m/>
    <m/>
    <m/>
    <s v="N"/>
    <s v="Y"/>
  </r>
  <r>
    <s v="TSG_BLD_PF"/>
    <n v="313921203"/>
    <n v="1115343913"/>
    <s v="735151-B21"/>
    <s v="HP BL460c Gen8 E5-v2 10/20Gb CTO Blade"/>
    <n v="12"/>
    <s v="4SZT42053164"/>
    <d v="2015-01-14T13:18:51"/>
    <d v="2015-01-19T00:00:00"/>
    <d v="2015-01-17T16:08:50"/>
    <d v="2015-01-15T09:00:00"/>
    <d v="2015-01-15T15:10:56"/>
    <d v="2015-01-17T13:03:27"/>
    <n v="52.099998474121094"/>
    <n v="74.800003051757813"/>
    <x v="1"/>
    <m/>
    <m/>
    <m/>
    <m/>
    <m/>
    <m/>
    <m/>
    <m/>
    <m/>
    <s v="N"/>
    <m/>
  </r>
  <r>
    <s v="TSG_MLDL_PF"/>
    <n v="313883937"/>
    <n v="1115291488"/>
    <s v="H9Q28A"/>
    <s v="HP DL380e G8 E5-2420v2 TC-TS5 Spcl Svr"/>
    <n v="80"/>
    <s v="4SZT42051023"/>
    <d v="2015-01-14T01:58:42"/>
    <d v="2015-01-22T00:00:00"/>
    <d v="2015-01-17T00:55:40"/>
    <d v="2015-01-15T03:05:00"/>
    <d v="2015-01-15T11:51:50"/>
    <d v="2015-01-16T19:58:06"/>
    <n v="40.900001525878906"/>
    <n v="70.900001525878906"/>
    <x v="0"/>
    <m/>
    <m/>
    <m/>
    <m/>
    <m/>
    <m/>
    <m/>
    <m/>
    <m/>
    <s v="Y"/>
    <m/>
  </r>
  <r>
    <s v="TSG_MLDL_PF"/>
    <n v="313918553"/>
    <n v="1115340036"/>
    <s v="719064-B21 #AKM"/>
    <s v="HP DL380 Gen9 8SFF CTO Server"/>
    <n v="1"/>
    <s v="4SZT42049480"/>
    <d v="2015-01-13T19:40:33"/>
    <d v="2015-01-19T00:00:00"/>
    <d v="2015-01-16T05:23:26"/>
    <d v="2015-01-14T17:15:00"/>
    <d v="2015-01-15T00:34:40"/>
    <d v="2015-01-16T03:19:33"/>
    <n v="34.099998474121094"/>
    <n v="57.700000762939453"/>
    <x v="0"/>
    <m/>
    <m/>
    <m/>
    <m/>
    <m/>
    <m/>
    <m/>
    <m/>
    <m/>
    <s v="N"/>
    <m/>
  </r>
  <r>
    <s v="TSG_BLD_PF"/>
    <n v="313916197"/>
    <n v="1115341305"/>
    <s v="735151-B21"/>
    <s v="HP BL460c Gen8 E5-v2 10/20Gb CTO Blade"/>
    <n v="50"/>
    <s v="4SZT42049469"/>
    <d v="2015-01-13T19:42:34"/>
    <d v="2015-01-16T00:00:00"/>
    <d v="2015-01-15T18:02:18"/>
    <d v="2015-01-14T15:00:00"/>
    <d v="2015-01-14T18:24:01"/>
    <d v="2015-01-15T14:01:13"/>
    <n v="23"/>
    <n v="46.299999237060547"/>
    <x v="0"/>
    <m/>
    <m/>
    <m/>
    <m/>
    <m/>
    <m/>
    <m/>
    <m/>
    <m/>
    <s v="N"/>
    <m/>
  </r>
  <r>
    <s v="TSG_MLDL_PF"/>
    <n v="313890338"/>
    <n v="1115296856"/>
    <s v="766982-B21 #AKM"/>
    <s v="HP DL380z Gen8 8 SFF CTO Virtual WS"/>
    <n v="2"/>
    <s v="4SZT42047521"/>
    <d v="2015-01-13T13:25:33"/>
    <d v="2015-01-19T00:00:00"/>
    <d v="2015-01-16T14:03:54"/>
    <d v="2015-01-14T17:15:00"/>
    <d v="2015-01-15T00:38:25"/>
    <d v="2015-01-16T12:23:11"/>
    <n v="43.099998474121094"/>
    <n v="72.599998474121094"/>
    <x v="1"/>
    <m/>
    <m/>
    <m/>
    <m/>
    <m/>
    <m/>
    <m/>
    <m/>
    <m/>
    <s v="N"/>
    <m/>
  </r>
  <r>
    <s v="TSG_MLDL_PF"/>
    <n v="313903875"/>
    <n v="1115316467"/>
    <s v="728551-B21 #AKM"/>
    <s v="HP DL580 Gen8 CTO Svr"/>
    <n v="8"/>
    <s v="4SZT42045580"/>
    <d v="2015-01-13T01:59:09"/>
    <d v="2015-01-19T00:00:00"/>
    <d v="2015-01-15T18:02:18"/>
    <d v="2015-01-14T11:30:00"/>
    <d v="2015-01-14T17:39:03"/>
    <d v="2015-01-15T13:46:20"/>
    <n v="26.299999237060547"/>
    <n v="57.5"/>
    <x v="0"/>
    <m/>
    <m/>
    <m/>
    <m/>
    <m/>
    <m/>
    <m/>
    <m/>
    <m/>
    <s v="N"/>
    <m/>
  </r>
  <r>
    <s v="TSG_MLDL_PF"/>
    <n v="313899145"/>
    <n v="1115308994"/>
    <s v="740896-B21 #AKM"/>
    <s v="HP ML350e Gen8 v2 Hot Plug 4LFF CTO Svr"/>
    <n v="1"/>
    <s v="4SZT42045577"/>
    <d v="2015-01-13T01:56:11"/>
    <d v="2015-01-19T00:00:00"/>
    <d v="2015-01-17T19:49:55"/>
    <d v="2015-01-15T14:38:00"/>
    <d v="2015-01-13T14:57:01"/>
    <d v="2015-01-17T16:46:16"/>
    <n v="50.099998474121094"/>
    <n v="107.30000305175781"/>
    <x v="1"/>
    <m/>
    <m/>
    <m/>
    <m/>
    <m/>
    <m/>
    <m/>
    <m/>
    <m/>
    <s v="N"/>
    <m/>
  </r>
  <r>
    <s v="TSG_MLDL_PF"/>
    <n v="313875510"/>
    <n v="1115272610"/>
    <s v="728551-B21 #AKM"/>
    <s v="HP DL580 Gen8 CTO Svr"/>
    <n v="7"/>
    <s v="4SZT42045510"/>
    <d v="2015-01-13T01:44:09"/>
    <d v="2015-01-19T00:00:00"/>
    <d v="2015-01-16T05:23:25"/>
    <d v="2015-01-14T11:30:00"/>
    <d v="2015-01-14T18:02:43"/>
    <d v="2015-01-16T03:36:59"/>
    <n v="40.099998474121094"/>
    <n v="68.900001525878906"/>
    <x v="2"/>
    <m/>
    <m/>
    <m/>
    <m/>
    <m/>
    <m/>
    <m/>
    <m/>
    <m/>
    <s v="N"/>
    <m/>
  </r>
  <r>
    <s v="TSG_ENCL_PF"/>
    <n v="313921202"/>
    <n v="1115341311"/>
    <s v="681840-B21"/>
    <s v="HP BLc7000 1PH 2PS 4Fan Trl IC Plat Encl"/>
    <n v="2"/>
    <s v="4SZT42044343"/>
    <d v="2015-01-12T20:49:04"/>
    <d v="2015-01-15T00:00:00"/>
    <d v="2015-01-13T23:51:46"/>
    <d v="2015-01-13T08:55:00"/>
    <d v="2015-01-13T12:57:09"/>
    <d v="2015-01-13T21:49:20"/>
    <n v="12.899999618530273"/>
    <n v="15.399999618530273"/>
    <x v="0"/>
    <m/>
    <m/>
    <m/>
    <m/>
    <m/>
    <m/>
    <m/>
    <m/>
    <m/>
    <s v="N"/>
    <m/>
  </r>
  <r>
    <s v="TSG_ENCL_PF"/>
    <n v="313916190"/>
    <n v="1115341295"/>
    <s v="681840-B21"/>
    <s v="HP BLc7000 1PH 2PS 4Fan Trl IC Plat Encl"/>
    <n v="5"/>
    <s v="4SZT42044330"/>
    <d v="2015-01-12T20:49:04"/>
    <d v="2015-01-15T00:00:00"/>
    <d v="2015-01-13T23:51:46"/>
    <d v="2015-01-13T08:55:00"/>
    <d v="2015-01-13T13:00:04"/>
    <d v="2015-01-13T22:05:11"/>
    <n v="13.199999809265137"/>
    <n v="15.399999618530273"/>
    <x v="0"/>
    <m/>
    <m/>
    <m/>
    <m/>
    <m/>
    <m/>
    <m/>
    <m/>
    <m/>
    <s v="N"/>
    <m/>
  </r>
  <r>
    <s v="TSG_ENCL_PF"/>
    <n v="313916159"/>
    <n v="1115341262"/>
    <s v="681844-B21"/>
    <s v="HP BLc7000 CTO 3 IN LCD Plat Enclosure"/>
    <n v="1"/>
    <s v="4SZT42043487"/>
    <d v="2015-01-12T17:50:04"/>
    <d v="2015-01-15T00:00:00"/>
    <d v="2015-01-15T16:42:27"/>
    <d v="2015-01-14T07:00:00"/>
    <d v="2015-01-14T17:56:53"/>
    <d v="2015-01-15T14:15:13"/>
    <n v="31.200000762939453"/>
    <n v="56.200000762939453"/>
    <x v="2"/>
    <m/>
    <m/>
    <m/>
    <m/>
    <m/>
    <m/>
    <m/>
    <m/>
    <m/>
    <s v="N"/>
    <m/>
  </r>
  <r>
    <s v="TSG_MLDL_PF"/>
    <n v="313888904"/>
    <n v="1115296213"/>
    <s v="653200-B21 #AKM"/>
    <s v="HP DL380p Gen8 8-SFF CTO Server"/>
    <n v="3"/>
    <s v="4SZT42043396"/>
    <d v="2015-01-12T17:57:02"/>
    <d v="2015-01-16T00:00:00"/>
    <d v="2015-01-14T13:46:58"/>
    <d v="2015-01-13T15:30:00"/>
    <d v="2015-01-13T22:23:43"/>
    <d v="2015-01-14T11:11:06"/>
    <n v="19.700000762939453"/>
    <n v="29.299999237060547"/>
    <x v="0"/>
    <m/>
    <m/>
    <m/>
    <m/>
    <m/>
    <m/>
    <m/>
    <m/>
    <m/>
    <s v="N"/>
    <m/>
  </r>
  <r>
    <s v="TSG_MLDL_PF"/>
    <n v="313899143"/>
    <n v="1115308986"/>
    <s v="653200-B21 #AKM"/>
    <s v="HP DL380p Gen8 8-SFF CTO Server"/>
    <n v="2"/>
    <s v="4SZT42042712"/>
    <d v="2015-01-12T16:11:59"/>
    <d v="2015-01-16T00:00:00"/>
    <d v="2015-01-14T14:50:56"/>
    <d v="2015-01-13T15:30:00"/>
    <d v="2015-01-13T21:36:37"/>
    <d v="2015-01-14T11:59:23"/>
    <n v="20.5"/>
    <n v="30.299999237060547"/>
    <x v="0"/>
    <m/>
    <m/>
    <m/>
    <m/>
    <m/>
    <m/>
    <m/>
    <m/>
    <m/>
    <s v="N"/>
    <m/>
  </r>
  <r>
    <s v="TSG_MLDL_PF"/>
    <n v="313893916"/>
    <n v="1115302847"/>
    <s v="653200-B21 #AKM"/>
    <s v="HP DL380p Gen8 8-SFF CTO Server"/>
    <n v="1"/>
    <s v="4SZT42042705"/>
    <d v="2015-01-12T16:05:59"/>
    <d v="2015-01-16T00:00:00"/>
    <d v="2015-01-14T10:34:54"/>
    <d v="2015-01-13T15:30:00"/>
    <d v="2015-01-13T19:39:28"/>
    <d v="2015-01-14T07:39:33"/>
    <n v="16.200000762939453"/>
    <n v="26.100000381469727"/>
    <x v="0"/>
    <m/>
    <m/>
    <m/>
    <m/>
    <m/>
    <m/>
    <m/>
    <m/>
    <m/>
    <s v="N"/>
    <m/>
  </r>
  <r>
    <s v="TSG_MLDL_PF"/>
    <n v="313887994"/>
    <n v="1115294803"/>
    <s v="653200-B21 #AKM"/>
    <s v="HP DL380p Gen8 8-SFF CTO Server"/>
    <n v="1"/>
    <s v="4SZT42042688"/>
    <d v="2015-01-12T16:04:09"/>
    <d v="2015-01-16T00:00:00"/>
    <d v="2015-01-14T18:18:05"/>
    <d v="2015-01-13T15:30:00"/>
    <d v="2015-01-13T22:42:30"/>
    <d v="2015-01-14T15:20:49"/>
    <n v="23.899999618530273"/>
    <n v="33.799999237060547"/>
    <x v="0"/>
    <m/>
    <m/>
    <m/>
    <m/>
    <m/>
    <m/>
    <m/>
    <m/>
    <m/>
    <s v="N"/>
    <m/>
  </r>
  <r>
    <s v="TSG_MLDL_PF"/>
    <n v="313887993"/>
    <n v="1115294802"/>
    <s v="653200-B21 #AKM"/>
    <s v="HP DL380p Gen8 8-SFF CTO Server"/>
    <n v="8"/>
    <s v="4SZT42042687"/>
    <d v="2015-01-12T16:03:59"/>
    <d v="2015-01-16T00:00:00"/>
    <d v="2015-01-14T16:43:01"/>
    <d v="2015-01-13T15:30:00"/>
    <d v="2015-01-13T18:24:51"/>
    <d v="2015-01-14T13:19:24"/>
    <n v="21.799999237060547"/>
    <n v="32.200000762939453"/>
    <x v="0"/>
    <m/>
    <m/>
    <m/>
    <m/>
    <m/>
    <m/>
    <m/>
    <m/>
    <m/>
    <s v="N"/>
    <m/>
  </r>
  <r>
    <s v="TSG_MLDL_PF"/>
    <n v="313880783"/>
    <n v="1115285910"/>
    <s v="728551-B21 #AKM"/>
    <s v="HP DL580 Gen8 CTO Svr"/>
    <n v="1"/>
    <s v="4SZT42031839"/>
    <d v="2015-01-09T17:12:46"/>
    <d v="2015-01-14T00:00:00"/>
    <d v="2015-01-12T14:01:16"/>
    <d v="2015-01-10T09:30:00"/>
    <d v="2015-01-10T14:10:50"/>
    <d v="2015-01-12T10:37:11"/>
    <n v="23"/>
    <n v="39.299999237060547"/>
    <x v="0"/>
    <m/>
    <m/>
    <m/>
    <m/>
    <m/>
    <m/>
    <m/>
    <m/>
    <m/>
    <s v="N"/>
    <m/>
  </r>
  <r>
    <s v="TSG_MLDL_PF"/>
    <n v="313910006"/>
    <n v="1115324249"/>
    <s v="754537-B21 #AKM"/>
    <s v="HP ML350T09 LFF CTO Server"/>
    <n v="1"/>
    <s v="4SYT42031859"/>
    <d v="2015-01-09T17:14:48"/>
    <d v="2015-01-14T00:00:00"/>
    <d v="2015-01-12T16:40:18"/>
    <d v="2015-01-10T09:30:00"/>
    <d v="2015-01-10T13:49:32"/>
    <d v="2015-01-12T14:47:39"/>
    <n v="23"/>
    <n v="39.299999237060547"/>
    <x v="0"/>
    <m/>
    <m/>
    <m/>
    <m/>
    <m/>
    <m/>
    <m/>
    <m/>
    <m/>
    <s v="N"/>
    <m/>
  </r>
  <r>
    <s v="TSG_MLDL_PF"/>
    <n v="313888361"/>
    <n v="1115295454"/>
    <s v="653200-B21 #AKM"/>
    <s v="HP DL380p Gen8 8-SFF CTO Server"/>
    <n v="8"/>
    <s v="4SJT42051029"/>
    <d v="2015-01-14T01:47:40"/>
    <d v="2015-01-20T00:00:00"/>
    <d v="2015-01-17T12:26:51"/>
    <d v="2015-01-15T23:03:00"/>
    <d v="2015-01-16T09:24:46"/>
    <d v="2015-01-17T09:22:23"/>
    <n v="34.299999237060547"/>
    <n v="82.699996948242188"/>
    <x v="2"/>
    <m/>
    <m/>
    <m/>
    <m/>
    <m/>
    <m/>
    <m/>
    <m/>
    <m/>
    <s v="N"/>
    <m/>
  </r>
  <r>
    <s v="TSG_MLDL_PF"/>
    <n v="313906690"/>
    <n v="1115324132"/>
    <s v="704963-B21 #AKM"/>
    <s v="HP DL585 G7 BC NIC CTO Server"/>
    <n v="1"/>
    <s v="4SJT42042736"/>
    <d v="2015-01-12T16:03:09"/>
    <d v="2015-01-15T00:00:00"/>
    <d v="2015-01-14T18:18:05"/>
    <d v="2015-01-13T21:00:00"/>
    <d v="2015-01-14T01:03:12"/>
    <d v="2015-01-14T15:20:17"/>
    <n v="18.299999237060547"/>
    <n v="33.799999237060547"/>
    <x v="0"/>
    <m/>
    <m/>
    <m/>
    <m/>
    <m/>
    <m/>
    <m/>
    <m/>
    <m/>
    <s v="N"/>
    <m/>
  </r>
  <r>
    <s v="TSG_MLDL_PF"/>
    <n v="313884653"/>
    <n v="1115289890"/>
    <s v="728551-B21 #AKM"/>
    <s v="HP DL580 Gen8 CTO Svr"/>
    <n v="1"/>
    <s v="4SJT42031842"/>
    <d v="2015-01-09T17:13:47"/>
    <d v="2015-01-14T00:00:00"/>
    <d v="2015-01-13T01:40:28"/>
    <d v="2015-01-10T09:30:00"/>
    <d v="2015-01-10T14:22:32"/>
    <d v="2015-01-12T13:23:12"/>
    <n v="23"/>
    <n v="39.299999237060547"/>
    <x v="0"/>
    <m/>
    <m/>
    <m/>
    <m/>
    <m/>
    <m/>
    <m/>
    <m/>
    <m/>
    <s v="N"/>
    <m/>
  </r>
  <r>
    <s v="TSG_MLDL_PF"/>
    <n v="313888385"/>
    <n v="1115295511"/>
    <s v="703586-B21 #AKM"/>
    <s v="HP DL580R07 CN CTO Server"/>
    <n v="3"/>
    <s v="4SJT42031249"/>
    <d v="2015-01-09T15:53:45"/>
    <d v="2015-01-14T00:00:00"/>
    <d v="2015-01-12T12:26:17"/>
    <d v="2015-01-10T01:10:00"/>
    <d v="2015-01-10T09:20:52"/>
    <d v="2015-01-11T04:27:48"/>
    <n v="27.299999237060547"/>
    <n v="40.599998474121094"/>
    <x v="0"/>
    <m/>
    <m/>
    <m/>
    <m/>
    <m/>
    <m/>
    <m/>
    <m/>
    <m/>
    <s v="N"/>
    <s v="Y"/>
  </r>
  <r>
    <s v="TSG_MLDL_PF"/>
    <n v="313888385"/>
    <n v="1115295489"/>
    <s v="703586-B21 #AKM"/>
    <s v="HP DL580R07 CN CTO Server"/>
    <n v="1"/>
    <s v="4SJT42031249"/>
    <d v="2015-01-09T15:52:44"/>
    <d v="2015-01-14T00:00:00"/>
    <d v="2015-01-12T12:26:17"/>
    <d v="2015-01-10T01:10:00"/>
    <d v="2015-01-10T09:10:17"/>
    <d v="2015-01-11T04:30:13"/>
    <n v="27.299999237060547"/>
    <n v="40.599998474121094"/>
    <x v="0"/>
    <m/>
    <m/>
    <m/>
    <m/>
    <m/>
    <m/>
    <m/>
    <m/>
    <m/>
    <s v="N"/>
    <s v="Y"/>
  </r>
  <r>
    <s v="TSG_MLDL_PF"/>
    <n v="313863786"/>
    <n v="1115272288"/>
    <s v="L6B06A"/>
    <s v="HP DL380p E5-2630v2 Qih-F5 Spcl Svr"/>
    <n v="46"/>
    <s v="4SJT42021974"/>
    <d v="2015-01-08T02:09:05"/>
    <d v="2015-01-14T00:00:00"/>
    <d v="2015-01-13T16:11:43"/>
    <d v="2015-01-08T14:01:00"/>
    <d v="2015-01-08T15:56:27"/>
    <d v="2015-01-09T14:38:36"/>
    <n v="24.600000381469727"/>
    <n v="86"/>
    <x v="2"/>
    <m/>
    <m/>
    <m/>
    <m/>
    <m/>
    <m/>
    <m/>
    <m/>
    <m/>
    <s v="N"/>
    <m/>
  </r>
  <r>
    <s v="TSG_BLD_PF"/>
    <n v="313939503"/>
    <n v="1115369475"/>
    <s v="735151-B21"/>
    <s v="HP BL460c Gen8 E5-v2 10/20Gb CTO Blade"/>
    <n v="3"/>
    <s v="4SHT42070008"/>
    <d v="2015-01-16T18:39:53"/>
    <d v="2015-01-21T00:00:00"/>
    <d v="2015-01-18T11:53:03"/>
    <d v="2015-01-17T15:18:00"/>
    <d v="2015-01-17T14:16:24"/>
    <d v="2015-01-18T10:40:12"/>
    <n v="17.200000762939453"/>
    <n v="37.799999237060547"/>
    <x v="0"/>
    <m/>
    <m/>
    <m/>
    <m/>
    <m/>
    <m/>
    <m/>
    <m/>
    <m/>
    <s v="N"/>
    <m/>
  </r>
  <r>
    <s v="TSG_BLD_PF"/>
    <n v="313939534"/>
    <n v="1115369490"/>
    <s v="735151-B21"/>
    <s v="HP BL460c Gen8 E5-v2 10/20Gb CTO Blade"/>
    <n v="4"/>
    <s v="4SHT42068026"/>
    <d v="2015-01-16T15:22:49"/>
    <d v="2015-01-21T00:00:00"/>
    <d v="2015-01-18T11:53:03"/>
    <d v="2015-01-17T08:40:00"/>
    <d v="2015-01-17T14:11:24"/>
    <d v="2015-01-18T10:40:22"/>
    <n v="23.799999237060547"/>
    <n v="41.099998474121094"/>
    <x v="0"/>
    <m/>
    <m/>
    <m/>
    <m/>
    <m/>
    <m/>
    <m/>
    <m/>
    <m/>
    <s v="N"/>
    <m/>
  </r>
  <r>
    <s v="TSG_MLDL_PF"/>
    <n v="313939021"/>
    <n v="1115369568"/>
    <s v="755258-B21 #AKM"/>
    <s v="HP DL360 Gen9 8SFF CTO Server"/>
    <n v="6"/>
    <s v="4SHT42067058"/>
    <d v="2015-01-16T13:49:45"/>
    <d v="2015-01-21T00:00:00"/>
    <d v="2015-01-18T16:06:07"/>
    <d v="2015-01-17T11:30:00"/>
    <d v="2015-01-17T13:46:27"/>
    <d v="2015-01-18T14:09:44"/>
    <n v="21"/>
    <n v="42.700000762939453"/>
    <x v="0"/>
    <m/>
    <m/>
    <m/>
    <m/>
    <m/>
    <m/>
    <m/>
    <m/>
    <m/>
    <s v="N"/>
    <m/>
  </r>
  <r>
    <s v="TSG_MLDL_PF"/>
    <n v="313932963"/>
    <n v="1115361000"/>
    <s v="B7E24A"/>
    <s v="HP StoreVirtual 4530 3TB MDL SAS Storage"/>
    <n v="3"/>
    <s v="4SHT42065813"/>
    <d v="2015-01-16T10:41:41"/>
    <d v="2015-01-21T00:00:00"/>
    <d v="2015-01-18T05:53:00"/>
    <d v="2015-01-17T08:40:00"/>
    <d v="2015-01-17T12:30:15"/>
    <d v="2015-01-18T03:18:20"/>
    <n v="18.600000381469727"/>
    <n v="43.200000762939453"/>
    <x v="0"/>
    <m/>
    <m/>
    <m/>
    <m/>
    <m/>
    <m/>
    <m/>
    <m/>
    <m/>
    <s v="N"/>
    <m/>
  </r>
  <r>
    <s v="TSG_MLDL_PF"/>
    <n v="313936679"/>
    <n v="1115366606"/>
    <s v="712318-AA1"/>
    <s v="HP MicroSvr Gen8 G2020T Base NHP CN Svr"/>
    <n v="1"/>
    <s v="4SHT42062245"/>
    <d v="2015-01-15T19:53:28"/>
    <d v="2015-01-20T00:00:00"/>
    <d v="2015-01-18T04:34:00"/>
    <d v="2015-01-17T08:40:00"/>
    <d v="2015-01-17T13:29:48"/>
    <d v="2015-01-18T02:39:47"/>
    <n v="18"/>
    <n v="56.700000762939453"/>
    <x v="0"/>
    <m/>
    <m/>
    <m/>
    <m/>
    <m/>
    <m/>
    <m/>
    <m/>
    <m/>
    <s v="N"/>
    <m/>
  </r>
  <r>
    <s v="TSG_BLD_PF"/>
    <n v="4051300957"/>
    <n v="1115358686"/>
    <s v="727021-B21"/>
    <s v="HP BL460c Gen9 10Gb/20Gb FLB CTO Blade"/>
    <n v="6"/>
    <s v="4SHT42061961"/>
    <d v="2015-01-15T18:39:27"/>
    <d v="2015-01-20T00:00:00"/>
    <d v="2015-01-17T14:01:53"/>
    <d v="2015-01-16T11:00:00"/>
    <d v="2015-01-16T14:18:59"/>
    <d v="2015-01-17T10:28:39"/>
    <n v="23.5"/>
    <n v="43.400001525878906"/>
    <x v="0"/>
    <m/>
    <m/>
    <m/>
    <m/>
    <m/>
    <m/>
    <m/>
    <m/>
    <m/>
    <s v="N"/>
    <m/>
  </r>
  <r>
    <s v="TSG_MLDL_PF"/>
    <n v="313921273"/>
    <n v="1115352169"/>
    <s v="653200-B21 #AKM"/>
    <s v="HP DL380p Gen8 8-SFF CTO Server"/>
    <n v="1"/>
    <s v="4SHT42061892"/>
    <d v="2015-01-15T18:31:28"/>
    <d v="2015-01-20T00:00:00"/>
    <d v="2015-01-18T04:34:00"/>
    <d v="2015-01-17T08:40:00"/>
    <d v="2015-01-17T11:56:24"/>
    <d v="2015-01-18T02:22:07"/>
    <n v="17.700000762939453"/>
    <n v="58"/>
    <x v="0"/>
    <m/>
    <m/>
    <m/>
    <m/>
    <m/>
    <m/>
    <m/>
    <m/>
    <m/>
    <s v="N"/>
    <s v="Y"/>
  </r>
  <r>
    <s v="TSG_MLDL_PF"/>
    <n v="313921273"/>
    <n v="1115352171"/>
    <s v="653200-B21 #AKM"/>
    <s v="HP DL380p Gen8 8-SFF CTO Server"/>
    <n v="2"/>
    <s v="4SHT42061892"/>
    <d v="2015-01-15T18:31:26"/>
    <d v="2015-01-20T00:00:00"/>
    <d v="2015-01-18T04:34:00"/>
    <d v="2015-01-17T08:40:00"/>
    <d v="2015-01-17T11:49:37"/>
    <d v="2015-01-18T02:22:00"/>
    <n v="17.700000762939453"/>
    <n v="58"/>
    <x v="0"/>
    <m/>
    <m/>
    <m/>
    <m/>
    <m/>
    <m/>
    <m/>
    <m/>
    <m/>
    <s v="N"/>
    <s v="Y"/>
  </r>
  <r>
    <s v="TSG_MLDL_PF"/>
    <n v="313930195"/>
    <n v="1115360724"/>
    <s v="686792-B21 #AKM"/>
    <s v="HP DL560 Gen8 CTO Server"/>
    <n v="2"/>
    <s v="4SHT42060814"/>
    <d v="2015-01-15T16:10:23"/>
    <d v="2015-01-21T00:00:00"/>
    <d v="2015-01-18T04:34:00"/>
    <d v="2015-01-17T01:30:00"/>
    <d v="2015-01-17T04:42:31"/>
    <d v="2015-01-18T00:13:34"/>
    <n v="22.700000762939453"/>
    <n v="60.400001525878906"/>
    <x v="2"/>
    <m/>
    <m/>
    <m/>
    <m/>
    <m/>
    <m/>
    <m/>
    <m/>
    <m/>
    <s v="N"/>
    <s v="Y"/>
  </r>
  <r>
    <s v="TSG_MLDL_PF"/>
    <n v="313930195"/>
    <n v="1115360725"/>
    <s v="653200-B21 #AKM"/>
    <s v="HP DL380p Gen8 8-SFF CTO Server"/>
    <n v="2"/>
    <s v="4SHT42060814"/>
    <d v="2015-01-15T16:10:23"/>
    <d v="2015-01-21T00:00:00"/>
    <d v="2015-01-18T04:34:00"/>
    <d v="2015-01-17T01:30:00"/>
    <d v="2015-01-17T06:22:50"/>
    <d v="2015-01-18T02:51:25"/>
    <n v="25.399999618530273"/>
    <n v="60.400001525878906"/>
    <x v="2"/>
    <m/>
    <m/>
    <m/>
    <m/>
    <m/>
    <m/>
    <m/>
    <m/>
    <m/>
    <s v="N"/>
    <s v="Y"/>
  </r>
  <r>
    <s v="TSG_MLDL_PF"/>
    <n v="313927842"/>
    <n v="1115353548"/>
    <s v="728551-B21 #AKM"/>
    <s v="HP DL580 Gen8 CTO Svr"/>
    <n v="1"/>
    <s v="4SHT42060807"/>
    <d v="2015-01-15T16:06:23"/>
    <d v="2015-01-20T00:00:00"/>
    <d v="2015-01-18T05:53:00"/>
    <d v="2015-01-17T01:30:00"/>
    <d v="2015-01-17T06:12:43"/>
    <d v="2015-01-18T03:47:09"/>
    <n v="26.299999237060547"/>
    <n v="61.799999237060547"/>
    <x v="2"/>
    <m/>
    <m/>
    <m/>
    <m/>
    <m/>
    <m/>
    <m/>
    <m/>
    <m/>
    <s v="N"/>
    <s v="Y"/>
  </r>
  <r>
    <s v="TSG_MLDL_PF"/>
    <n v="313927842"/>
    <n v="1115353547"/>
    <s v="728551-B21 #AKM"/>
    <s v="HP DL580 Gen8 CTO Svr"/>
    <n v="1"/>
    <s v="4SHT42060807"/>
    <d v="2015-01-15T16:06:25"/>
    <d v="2015-01-20T00:00:00"/>
    <d v="2015-01-18T05:53:00"/>
    <d v="2015-01-17T01:30:00"/>
    <d v="2015-01-17T06:17:09"/>
    <d v="2015-01-18T03:47:15"/>
    <n v="26.299999237060547"/>
    <n v="61.799999237060547"/>
    <x v="2"/>
    <m/>
    <m/>
    <m/>
    <m/>
    <m/>
    <m/>
    <m/>
    <m/>
    <m/>
    <s v="N"/>
    <s v="Y"/>
  </r>
  <r>
    <s v="TSG_MLDL_PF"/>
    <n v="313931186"/>
    <n v="1115358277"/>
    <s v="653200-B21 #AKM"/>
    <s v="HP DL380p Gen8 8-SFF CTO Server"/>
    <n v="3"/>
    <s v="4SHT42058993"/>
    <d v="2015-01-15T11:06:16"/>
    <d v="2015-01-21T00:00:00"/>
    <d v="2015-01-18T16:06:07"/>
    <d v="2015-01-17T11:30:00"/>
    <d v="2015-01-17T14:07:18"/>
    <d v="2015-01-18T12:47:16"/>
    <n v="21"/>
    <n v="69.400001525878906"/>
    <x v="2"/>
    <m/>
    <m/>
    <m/>
    <m/>
    <m/>
    <m/>
    <m/>
    <m/>
    <m/>
    <s v="N"/>
    <m/>
  </r>
  <r>
    <s v="TSG_MLDL_PF"/>
    <n v="313926548"/>
    <n v="1115351009"/>
    <s v="666281-B21 #AKM"/>
    <s v="HP DL160 Gen8 SFF CTO Server"/>
    <n v="1"/>
    <s v="4SHT42057759"/>
    <d v="2015-01-15T02:29:07"/>
    <d v="2015-01-21T00:00:00"/>
    <d v="2015-01-18T05:53:00"/>
    <d v="2015-01-16T10:02:00"/>
    <d v="2015-01-16T16:23:15"/>
    <d v="2015-01-18T03:21:13"/>
    <n v="41.299999237060547"/>
    <n v="75.400001525878906"/>
    <x v="2"/>
    <m/>
    <m/>
    <m/>
    <m/>
    <m/>
    <m/>
    <m/>
    <m/>
    <m/>
    <s v="N"/>
    <m/>
  </r>
  <r>
    <s v="TSG_MLDL_PF"/>
    <n v="313922871"/>
    <n v="1115349621"/>
    <s v="653200-B21 #AKM"/>
    <s v="HP DL380p Gen8 8-SFF CTO Server"/>
    <n v="1"/>
    <s v="4SHT42057729"/>
    <d v="2015-01-15T02:20:06"/>
    <d v="2015-01-21T00:00:00"/>
    <d v="2015-01-18T18:13:07"/>
    <d v="2015-01-16T03:20:00"/>
    <d v="2015-01-16T14:00:46"/>
    <d v="2015-01-17T07:43:48"/>
    <n v="28.399999618530273"/>
    <n v="78.199996948242188"/>
    <x v="2"/>
    <m/>
    <m/>
    <m/>
    <m/>
    <m/>
    <m/>
    <m/>
    <m/>
    <m/>
    <s v="N"/>
    <s v="Y"/>
  </r>
  <r>
    <s v="TSG_MLDL_PF"/>
    <n v="313922871"/>
    <n v="1115349622"/>
    <s v="653200-B21 #AKM"/>
    <s v="HP DL380p Gen8 8-SFF CTO Server"/>
    <n v="8"/>
    <s v="4SHT42057729"/>
    <d v="2015-01-15T02:20:06"/>
    <d v="2015-01-21T00:00:00"/>
    <d v="2015-01-18T18:13:08"/>
    <d v="2015-01-17T11:30:00"/>
    <d v="2015-01-17T15:00:47"/>
    <d v="2015-01-18T15:36:39"/>
    <n v="21"/>
    <n v="78.199996948242188"/>
    <x v="2"/>
    <m/>
    <m/>
    <m/>
    <m/>
    <m/>
    <m/>
    <m/>
    <m/>
    <m/>
    <s v="N"/>
    <s v="Y"/>
  </r>
  <r>
    <s v="TSG_MLDL_PF"/>
    <n v="313922871"/>
    <n v="1115349620"/>
    <s v="653200-B21 #AKM"/>
    <s v="HP DL380p Gen8 8-SFF CTO Server"/>
    <n v="2"/>
    <s v="4SHT42057729"/>
    <d v="2015-01-15T02:20:07"/>
    <d v="2015-01-21T00:00:00"/>
    <d v="2015-01-18T18:13:07"/>
    <d v="2015-01-17T11:30:00"/>
    <d v="2015-01-17T15:28:11"/>
    <d v="2015-01-18T12:06:06"/>
    <n v="21"/>
    <n v="78.199996948242188"/>
    <x v="2"/>
    <m/>
    <m/>
    <m/>
    <m/>
    <m/>
    <m/>
    <m/>
    <m/>
    <m/>
    <s v="N"/>
    <s v="Y"/>
  </r>
  <r>
    <s v="TSG_MLDL_PF"/>
    <n v="313920920"/>
    <n v="1115343827"/>
    <s v="653200-B21 #AKM"/>
    <s v="HP DL380p Gen8 8-SFF CTO Server"/>
    <n v="2"/>
    <s v="4SHT42057716"/>
    <d v="2015-01-15T02:19:06"/>
    <d v="2015-01-21T00:00:00"/>
    <d v="2015-01-18T10:03:02"/>
    <d v="2015-01-16T03:20:00"/>
    <d v="2015-01-16T10:54:30"/>
    <d v="2015-01-17T06:10:02"/>
    <n v="26.799999237060547"/>
    <n v="78.199996948242188"/>
    <x v="2"/>
    <m/>
    <m/>
    <m/>
    <m/>
    <m/>
    <m/>
    <m/>
    <m/>
    <m/>
    <s v="N"/>
    <s v="Y"/>
  </r>
  <r>
    <s v="TSG_MLDL_PF"/>
    <n v="313920920"/>
    <n v="1115343828"/>
    <s v="653200-B21 #AKM"/>
    <s v="HP DL380p Gen8 8-SFF CTO Server"/>
    <n v="3"/>
    <s v="4SHT42057716"/>
    <d v="2015-01-15T02:19:06"/>
    <d v="2015-01-21T00:00:00"/>
    <d v="2015-01-18T10:03:02"/>
    <d v="2015-01-17T11:30:00"/>
    <d v="2015-01-17T15:37:54"/>
    <d v="2015-01-18T08:03:00"/>
    <n v="20.5"/>
    <n v="78.199996948242188"/>
    <x v="2"/>
    <m/>
    <m/>
    <m/>
    <m/>
    <m/>
    <m/>
    <m/>
    <m/>
    <m/>
    <s v="N"/>
    <s v="Y"/>
  </r>
  <r>
    <s v="TSG_MLDL_PF"/>
    <n v="313920920"/>
    <n v="1115343829"/>
    <s v="653200-B21 #AKM"/>
    <s v="HP DL380p Gen8 8-SFF CTO Server"/>
    <n v="1"/>
    <s v="4SHT42057716"/>
    <d v="2015-01-15T02:19:06"/>
    <d v="2015-01-21T00:00:00"/>
    <d v="2015-01-18T10:03:02"/>
    <d v="2015-01-17T11:30:00"/>
    <d v="2015-01-17T15:24:43"/>
    <d v="2015-01-18T07:52:44"/>
    <n v="20.399999618530273"/>
    <n v="78.199996948242188"/>
    <x v="2"/>
    <m/>
    <m/>
    <m/>
    <m/>
    <m/>
    <m/>
    <m/>
    <m/>
    <m/>
    <s v="N"/>
    <s v="Y"/>
  </r>
  <r>
    <s v="TSG_MLDL_PF"/>
    <n v="313920288"/>
    <n v="1115341087"/>
    <s v="654081-B21 #AKM"/>
    <s v="HP DL360p Gen8 8-SFF CTO Server"/>
    <n v="6"/>
    <s v="4SHT42057715"/>
    <d v="2015-01-15T02:20:08"/>
    <d v="2015-01-21T00:00:00"/>
    <d v="2015-01-18T16:06:07"/>
    <d v="2015-01-17T11:30:00"/>
    <d v="2015-01-17T13:33:20"/>
    <d v="2015-01-18T14:49:20"/>
    <n v="21"/>
    <n v="78.199996948242188"/>
    <x v="2"/>
    <m/>
    <m/>
    <m/>
    <m/>
    <m/>
    <m/>
    <m/>
    <m/>
    <m/>
    <s v="N"/>
    <m/>
  </r>
  <r>
    <s v="TSG_MLDL_PF"/>
    <n v="313917996"/>
    <n v="1115339660"/>
    <s v="653200-B21 #AKM"/>
    <s v="HP DL380p Gen8 8-SFF CTO Server"/>
    <n v="1"/>
    <s v="4SHT42057680"/>
    <d v="2015-01-15T02:08:06"/>
    <d v="2015-01-21T00:00:00"/>
    <d v="2015-01-18T13:44:04"/>
    <d v="2015-01-17T11:30:00"/>
    <d v="2015-01-17T15:24:30"/>
    <d v="2015-01-18T10:56:00"/>
    <n v="21"/>
    <n v="78.400001525878906"/>
    <x v="2"/>
    <m/>
    <m/>
    <m/>
    <m/>
    <m/>
    <m/>
    <m/>
    <m/>
    <m/>
    <s v="N"/>
    <s v="Y"/>
  </r>
  <r>
    <s v="TSG_MLDL_PF"/>
    <n v="313917996"/>
    <n v="1115339659"/>
    <s v="653200-B21 #AKM"/>
    <s v="HP DL380p Gen8 8-SFF CTO Server"/>
    <n v="3"/>
    <s v="4SHT42057680"/>
    <d v="2015-01-15T02:09:06"/>
    <d v="2015-01-21T00:00:00"/>
    <d v="2015-01-18T13:44:04"/>
    <d v="2015-01-17T11:30:00"/>
    <d v="2015-01-17T15:20:15"/>
    <d v="2015-01-18T10:54:55"/>
    <n v="21"/>
    <n v="78.300003051757812"/>
    <x v="2"/>
    <m/>
    <m/>
    <m/>
    <m/>
    <m/>
    <m/>
    <m/>
    <m/>
    <m/>
    <s v="N"/>
    <s v="Y"/>
  </r>
  <r>
    <s v="TSG_MLDL_PF"/>
    <n v="313906416"/>
    <n v="1115319509"/>
    <s v="719064-B21 #AKM"/>
    <s v="HP DL380 Gen9 8SFF CTO Server"/>
    <n v="3"/>
    <s v="4SHT42057664"/>
    <d v="2015-01-15T02:03:07"/>
    <d v="2015-01-21T00:00:00"/>
    <d v="2015-01-18T02:10:57"/>
    <d v="2015-01-16T10:02:00"/>
    <d v="2015-01-16T16:01:35"/>
    <d v="2015-01-17T22:41:48"/>
    <n v="36.700000762939453"/>
    <n v="72.099998474121094"/>
    <x v="2"/>
    <m/>
    <m/>
    <m/>
    <m/>
    <m/>
    <m/>
    <m/>
    <m/>
    <m/>
    <s v="N"/>
    <m/>
  </r>
  <r>
    <s v="TSG_MLDL_PF"/>
    <n v="313887984"/>
    <n v="1115294783"/>
    <s v="653200-B21 #AKM"/>
    <s v="HP DL380p Gen8 8-SFF CTO Server"/>
    <n v="6"/>
    <s v="4SHT42057652"/>
    <d v="2015-01-15T02:03:06"/>
    <d v="2015-01-21T00:00:00"/>
    <d v="2015-01-17T08:43:45"/>
    <d v="2015-01-16T03:20:00"/>
    <d v="2015-01-16T13:10:50"/>
    <d v="2015-01-17T07:08:47"/>
    <n v="27.799999237060547"/>
    <n v="54.700000762939453"/>
    <x v="0"/>
    <m/>
    <m/>
    <m/>
    <m/>
    <m/>
    <m/>
    <m/>
    <m/>
    <m/>
    <s v="N"/>
    <m/>
  </r>
  <r>
    <s v="TSG_MLDL_PF"/>
    <n v="313769104"/>
    <n v="1115125369"/>
    <s v="703586-B21 #AKM"/>
    <s v="HP DL580R07 CN CTO Server"/>
    <n v="7"/>
    <s v="4SHT42055925"/>
    <d v="2015-01-14T23:10:02"/>
    <d v="2015-01-19T00:00:00"/>
    <d v="2015-01-17T12:26:50"/>
    <d v="2015-01-15T14:38:00"/>
    <d v="2015-01-15T20:49:48"/>
    <d v="2015-01-17T09:49:05"/>
    <n v="43.200000762939453"/>
    <n v="61.299999237060547"/>
    <x v="1"/>
    <m/>
    <m/>
    <m/>
    <m/>
    <m/>
    <m/>
    <m/>
    <m/>
    <m/>
    <s v="N"/>
    <s v="Y"/>
  </r>
  <r>
    <s v="TSG_MLDL_PF"/>
    <n v="313769104"/>
    <n v="1115125370"/>
    <s v="686792-B21 #AKM"/>
    <s v="HP DL560 Gen8 CTO Server"/>
    <n v="8"/>
    <s v="4SHT42055925"/>
    <d v="2015-01-14T23:07:05"/>
    <d v="2015-01-19T00:00:00"/>
    <d v="2015-01-17T12:26:50"/>
    <d v="2015-01-15T14:38:00"/>
    <d v="2015-01-15T21:52:41"/>
    <d v="2015-01-17T03:20:06"/>
    <n v="36.700000762939453"/>
    <n v="61.299999237060547"/>
    <x v="2"/>
    <m/>
    <m/>
    <m/>
    <m/>
    <m/>
    <m/>
    <m/>
    <m/>
    <m/>
    <s v="N"/>
    <s v="Y"/>
  </r>
  <r>
    <s v="TSG_MLDL_PF"/>
    <n v="313923930"/>
    <n v="1115347494"/>
    <s v="728551-B21 #AKM"/>
    <s v="HP DL580 Gen8 CTO Svr"/>
    <n v="5"/>
    <s v="4SHT42055554"/>
    <d v="2015-01-14T19:41:00"/>
    <d v="2015-01-19T00:00:00"/>
    <d v="2015-01-16T18:35:38"/>
    <d v="2015-01-15T14:38:00"/>
    <d v="2015-01-15T21:36:10"/>
    <d v="2015-01-16T16:24:18"/>
    <n v="25.799999237060547"/>
    <n v="46.900001525878906"/>
    <x v="0"/>
    <m/>
    <m/>
    <m/>
    <m/>
    <m/>
    <m/>
    <m/>
    <m/>
    <m/>
    <s v="N"/>
    <m/>
  </r>
  <r>
    <s v="TSG_MLDL_PF"/>
    <n v="313931170"/>
    <n v="1115358250"/>
    <s v="784113-AA5"/>
    <s v="HP DL180 Gen9 E5-2620v3 SFF CN Svr/Promo"/>
    <n v="10"/>
    <s v="4SHT42055263"/>
    <d v="2015-01-14T18:27:58"/>
    <d v="2015-01-19T00:00:00"/>
    <d v="2015-01-17T16:08:50"/>
    <d v="2015-01-15T14:38:00"/>
    <d v="2015-01-15T20:03:39"/>
    <d v="2015-01-17T13:14:23"/>
    <n v="46.599998474121094"/>
    <n v="69.699996948242188"/>
    <x v="1"/>
    <m/>
    <m/>
    <m/>
    <m/>
    <m/>
    <m/>
    <m/>
    <m/>
    <m/>
    <s v="N"/>
    <m/>
  </r>
  <r>
    <s v="TSG_BLD_PF"/>
    <n v="313886086"/>
    <n v="1115293649"/>
    <s v="735151-B21"/>
    <s v="HP BL460c Gen8 E5-v2 10/20Gb CTO Blade"/>
    <n v="3"/>
    <s v="4SHT42054293"/>
    <d v="2015-01-14T16:38:57"/>
    <d v="2015-01-19T00:00:00"/>
    <d v="2015-01-16T22:16:42"/>
    <d v="2015-01-15T15:30:00"/>
    <d v="2015-01-15T16:50:06"/>
    <d v="2015-01-16T20:20:00"/>
    <n v="28.799999237060547"/>
    <n v="53.599998474121094"/>
    <x v="0"/>
    <m/>
    <m/>
    <m/>
    <m/>
    <m/>
    <m/>
    <m/>
    <m/>
    <m/>
    <s v="N"/>
    <m/>
  </r>
  <r>
    <s v="TSG_BLD_PF"/>
    <n v="4051300182"/>
    <n v="1115336173"/>
    <s v="727021-B21"/>
    <s v="HP BL460c Gen9 10Gb/20Gb FLB CTO Blade"/>
    <n v="1"/>
    <s v="4SHT42053780"/>
    <d v="2015-01-14T14:53:53"/>
    <d v="2015-01-19T00:00:00"/>
    <d v="2015-01-17T14:01:53"/>
    <d v="2015-01-15T15:30:00"/>
    <d v="2015-01-15T16:36:46"/>
    <d v="2015-01-17T12:01:21"/>
    <n v="44.5"/>
    <n v="71.099998474121094"/>
    <x v="1"/>
    <m/>
    <m/>
    <m/>
    <m/>
    <m/>
    <m/>
    <m/>
    <m/>
    <m/>
    <s v="N"/>
    <m/>
  </r>
  <r>
    <s v="TSG_BLD_PF"/>
    <n v="313914583"/>
    <n v="1115334611"/>
    <s v="735151-B21"/>
    <s v="HP BL460c Gen8 E5-v2 10/20Gb CTO Blade"/>
    <n v="16"/>
    <s v="4SHT42052757"/>
    <d v="2015-01-14T11:54:49"/>
    <d v="2015-01-19T00:00:00"/>
    <d v="2015-01-16T14:03:54"/>
    <d v="2015-01-15T09:00:00"/>
    <d v="2015-01-15T15:31:28"/>
    <d v="2015-01-16T12:15:05"/>
    <n v="27.200000762939453"/>
    <n v="50.200000762939453"/>
    <x v="0"/>
    <m/>
    <m/>
    <m/>
    <m/>
    <m/>
    <m/>
    <m/>
    <m/>
    <m/>
    <s v="N"/>
    <m/>
  </r>
  <r>
    <s v="TSG_BLD_PF"/>
    <n v="4051300729"/>
    <n v="1115344483"/>
    <s v="727021-B21"/>
    <s v="HP BL460c Gen9 10Gb/20Gb FLB CTO Blade"/>
    <n v="16"/>
    <s v="4SHT42051698"/>
    <d v="2015-01-14T06:32:43"/>
    <d v="2015-01-19T00:00:00"/>
    <d v="2015-01-17T12:26:49"/>
    <d v="2015-01-15T09:00:00"/>
    <d v="2015-01-15T14:22:50"/>
    <d v="2015-01-17T09:33:05"/>
    <n v="48.5"/>
    <n v="77.900001525878906"/>
    <x v="1"/>
    <m/>
    <m/>
    <m/>
    <m/>
    <m/>
    <m/>
    <m/>
    <m/>
    <m/>
    <s v="N"/>
    <m/>
  </r>
  <r>
    <s v="TSG_MLDL_PF"/>
    <n v="313916446"/>
    <n v="1115336290"/>
    <s v="653203-B21 #AKM"/>
    <s v="HP DL385p Gen8 8-SFF CTO Server"/>
    <n v="1"/>
    <s v="4SHT42051088"/>
    <d v="2015-01-14T01:55:39"/>
    <d v="2015-01-20T00:00:00"/>
    <d v="2015-01-17T09:47:46"/>
    <d v="2015-01-15T18:18:00"/>
    <d v="2015-01-16T00:10:20"/>
    <d v="2015-01-16T19:51:39"/>
    <n v="25.600000381469727"/>
    <n v="79.900001525878906"/>
    <x v="2"/>
    <m/>
    <m/>
    <m/>
    <m/>
    <m/>
    <m/>
    <m/>
    <m/>
    <m/>
    <s v="N"/>
    <s v="Y"/>
  </r>
  <r>
    <s v="TSG_MLDL_PF"/>
    <n v="313916446"/>
    <n v="1115336288"/>
    <s v="653203-B21 #AKM"/>
    <s v="HP DL385p Gen8 8-SFF CTO Server"/>
    <n v="4"/>
    <s v="4SHT42051088"/>
    <d v="2015-01-14T01:56:39"/>
    <d v="2015-01-20T00:00:00"/>
    <d v="2015-01-17T09:47:46"/>
    <d v="2015-01-15T18:18:00"/>
    <d v="2015-01-15T23:53:58"/>
    <d v="2015-01-17T07:29:47"/>
    <n v="37.200000762939453"/>
    <n v="79.800003051757813"/>
    <x v="2"/>
    <m/>
    <m/>
    <m/>
    <m/>
    <m/>
    <m/>
    <m/>
    <m/>
    <m/>
    <s v="N"/>
    <s v="Y"/>
  </r>
  <r>
    <s v="TSG_MLDL_PF"/>
    <n v="313915268"/>
    <n v="1115334718"/>
    <s v="661189-B21 #AKM"/>
    <s v="HP DL360e Gen8 8SFF CTO Server"/>
    <n v="49"/>
    <s v="4SHT42051082"/>
    <d v="2015-01-14T02:05:40"/>
    <d v="2015-01-20T00:00:00"/>
    <d v="2015-01-16T22:16:46"/>
    <d v="2015-01-15T14:38:00"/>
    <d v="2015-01-15T18:39:30"/>
    <d v="2015-01-16T19:52:15"/>
    <n v="29.200000762939453"/>
    <n v="68.199996948242188"/>
    <x v="2"/>
    <m/>
    <m/>
    <m/>
    <m/>
    <m/>
    <m/>
    <m/>
    <m/>
    <m/>
    <s v="N"/>
    <m/>
  </r>
  <r>
    <s v="TSG_MLDL_PF"/>
    <n v="313898479"/>
    <n v="1115317615"/>
    <s v="665552-B21 #AKM"/>
    <s v="HP DL380p Gen8 12-LFF CTO Server"/>
    <n v="1"/>
    <s v="4SHT42051043"/>
    <d v="2015-01-14T01:47:41"/>
    <d v="2015-01-20T00:00:00"/>
    <d v="2015-01-16T18:35:38"/>
    <d v="2015-01-15T03:05:00"/>
    <d v="2015-01-15T12:21:37"/>
    <d v="2015-01-16T15:25:00"/>
    <n v="36.299999237060547"/>
    <n v="64.800003051757812"/>
    <x v="0"/>
    <m/>
    <m/>
    <m/>
    <m/>
    <m/>
    <m/>
    <m/>
    <m/>
    <m/>
    <s v="Y"/>
    <m/>
  </r>
  <r>
    <s v="TSG_MLDL_PF"/>
    <n v="313898452"/>
    <n v="1115310677"/>
    <s v="661190-B21 #AKM"/>
    <s v="HP DL360e Gen8 4LFF CTO Server"/>
    <n v="6"/>
    <s v="4SHT42051042"/>
    <d v="2015-01-14T01:49:39"/>
    <d v="2015-01-20T00:00:00"/>
    <d v="2015-01-17T18:14:52"/>
    <d v="2015-01-15T03:05:00"/>
    <d v="2015-01-15T10:35:14"/>
    <d v="2015-01-17T16:07:34"/>
    <n v="61"/>
    <n v="88.400001525878906"/>
    <x v="2"/>
    <m/>
    <m/>
    <m/>
    <m/>
    <m/>
    <m/>
    <m/>
    <m/>
    <m/>
    <s v="Y"/>
    <m/>
  </r>
  <r>
    <s v="TSG_MLDL_PF"/>
    <n v="313888845"/>
    <n v="1115297121"/>
    <s v="740897-B21 #AKM"/>
    <s v="HP ML350e Gen8 v2 Hot Plug 8SFF CTO Svr"/>
    <n v="2"/>
    <s v="4SHT42051033"/>
    <d v="2015-01-14T01:45:38"/>
    <d v="2015-01-20T00:00:00"/>
    <d v="2015-01-16T20:25:40"/>
    <d v="2015-01-15T14:38:00"/>
    <d v="2015-01-15T22:34:32"/>
    <d v="2015-01-16T18:25:58"/>
    <n v="27.799999237060547"/>
    <n v="66.699996948242187"/>
    <x v="2"/>
    <m/>
    <m/>
    <m/>
    <m/>
    <m/>
    <m/>
    <m/>
    <m/>
    <m/>
    <s v="N"/>
    <m/>
  </r>
  <r>
    <s v="TSG_MLDL_PF"/>
    <n v="313887157"/>
    <n v="1115293733"/>
    <s v="755258-B21 #AKM"/>
    <s v="HP DL360 Gen9 8SFF CTO Server"/>
    <n v="2"/>
    <s v="4SHT42051025"/>
    <d v="2015-01-14T01:44:39"/>
    <d v="2015-01-20T00:00:00"/>
    <d v="2015-01-16T23:35:43"/>
    <d v="2015-01-15T14:38:00"/>
    <d v="2015-01-15T19:38:50"/>
    <d v="2015-01-16T22:17:11"/>
    <n v="31.600000381469727"/>
    <n v="69.800003051757812"/>
    <x v="2"/>
    <m/>
    <m/>
    <m/>
    <m/>
    <m/>
    <m/>
    <m/>
    <m/>
    <m/>
    <s v="N"/>
    <m/>
  </r>
  <r>
    <s v="TSG_MLDL_PF"/>
    <n v="313866543"/>
    <n v="1115264465"/>
    <s v="722446-B21 #AKM"/>
    <s v="HP ML310e Gen8 v2 4LFF CTO Svr"/>
    <n v="130"/>
    <s v="4SHT42051010"/>
    <d v="2015-01-14T02:02:43"/>
    <d v="2015-01-20T00:00:00"/>
    <d v="2015-01-18T19:47:09"/>
    <d v="2015-01-14T21:10:00"/>
    <d v="2015-01-15T02:14:56"/>
    <d v="2015-01-18T16:53:36"/>
    <n v="83.300003051757813"/>
    <n v="102.5"/>
    <x v="1"/>
    <m/>
    <m/>
    <m/>
    <m/>
    <m/>
    <m/>
    <m/>
    <m/>
    <m/>
    <s v="N"/>
    <m/>
  </r>
  <r>
    <s v="TSG_MLDL_PF"/>
    <n v="313903149"/>
    <n v="1115314510"/>
    <s v="726044-AA5"/>
    <s v="HP DL320eGen8v2 E3-1220v3 CN Svr/Promo"/>
    <n v="25"/>
    <s v="4SHT42049455"/>
    <d v="2015-01-13T19:36:34"/>
    <d v="2015-01-16T00:00:00"/>
    <d v="2015-01-15T22:31:22"/>
    <d v="2015-01-14T17:15:00"/>
    <d v="2015-01-14T20:43:31"/>
    <d v="2015-01-15T20:10:02"/>
    <n v="26.899999618530273"/>
    <n v="50.900001525878906"/>
    <x v="0"/>
    <m/>
    <m/>
    <m/>
    <m/>
    <m/>
    <m/>
    <m/>
    <m/>
    <m/>
    <s v="N"/>
    <m/>
  </r>
  <r>
    <s v="TSG_MLDL_PF"/>
    <n v="313888352"/>
    <n v="1115295436"/>
    <s v="769503-AA1"/>
    <s v="HP DL160 Gen9 E5-2603v3 LFF Ety CN Svr"/>
    <n v="20"/>
    <s v="4SHT42049452"/>
    <d v="2015-01-13T19:42:34"/>
    <d v="2015-01-19T00:00:00"/>
    <d v="2015-01-16T14:03:54"/>
    <d v="2015-01-15T23:00:00"/>
    <d v="2015-01-15T02:15:45"/>
    <d v="2015-01-16T10:51:56"/>
    <n v="11.899999618530273"/>
    <n v="66.400001525878906"/>
    <x v="2"/>
    <m/>
    <m/>
    <m/>
    <m/>
    <m/>
    <m/>
    <m/>
    <m/>
    <m/>
    <s v="N"/>
    <m/>
  </r>
  <r>
    <s v="TSG_MLDL_PF"/>
    <n v="313888352"/>
    <n v="1115295447"/>
    <s v="784112-AA5"/>
    <s v="HP DL180 Gen9 E5-2620v3 LFF CN Svr/Promo"/>
    <n v="30"/>
    <s v="4SHT42049451"/>
    <d v="2015-01-13T19:39:33"/>
    <d v="2015-01-16T00:00:00"/>
    <d v="2015-01-16T15:56:34"/>
    <d v="2015-01-14T17:15:00"/>
    <d v="2015-01-14T23:42:11"/>
    <d v="2015-01-16T13:00:40"/>
    <n v="43.799999237060547"/>
    <n v="68.300003051757813"/>
    <x v="1"/>
    <m/>
    <m/>
    <m/>
    <m/>
    <m/>
    <m/>
    <m/>
    <m/>
    <m/>
    <s v="N"/>
    <m/>
  </r>
  <r>
    <s v="TSG_MLDL_PF"/>
    <n v="313888352"/>
    <n v="1115295445"/>
    <s v="784111-AA5"/>
    <s v="HP DL180 Gen9 E5-2609v3 SFF CN Svr/Promo"/>
    <n v="30"/>
    <s v="4SHT42049450"/>
    <d v="2015-01-13T19:38:33"/>
    <d v="2015-01-16T00:00:00"/>
    <d v="2015-01-17T07:32:44"/>
    <d v="2015-01-14T17:15:00"/>
    <d v="2015-01-14T21:55:17"/>
    <d v="2015-01-17T06:02:28"/>
    <n v="60.799999237060547"/>
    <n v="83.900001525878906"/>
    <x v="1"/>
    <m/>
    <m/>
    <m/>
    <m/>
    <m/>
    <m/>
    <m/>
    <m/>
    <m/>
    <s v="N"/>
    <m/>
  </r>
  <r>
    <s v="TSG_MLDL_PF"/>
    <n v="313920731"/>
    <n v="1115342486"/>
    <s v="769503-AA1"/>
    <s v="HP DL160 Gen9 E5-2603v3 LFF Ety CN Svr"/>
    <n v="10"/>
    <s v="4SHT42048654"/>
    <d v="2015-01-13T17:05:31"/>
    <d v="2015-01-16T00:00:00"/>
    <d v="2015-01-16T09:16:30"/>
    <d v="2015-01-14T17:15:00"/>
    <d v="2015-01-15T00:19:23"/>
    <d v="2015-01-16T07:12:19"/>
    <n v="38"/>
    <n v="64.199996948242188"/>
    <x v="2"/>
    <m/>
    <m/>
    <m/>
    <m/>
    <m/>
    <m/>
    <m/>
    <m/>
    <m/>
    <s v="N"/>
    <m/>
  </r>
  <r>
    <s v="TSG_MLDL_PF"/>
    <n v="313919851"/>
    <n v="1115341372"/>
    <s v="726045-AA5"/>
    <s v="HP DL320eGen8v2 E3-1220v3 NHP CN Svr/Pro"/>
    <n v="15"/>
    <s v="4SHT42048635"/>
    <d v="2015-01-13T17:05:31"/>
    <d v="2015-01-16T00:00:00"/>
    <d v="2015-01-16T10:51:29"/>
    <d v="2015-01-14T17:15:00"/>
    <d v="2015-01-14T21:48:54"/>
    <d v="2015-01-16T07:35:42"/>
    <n v="38.299999237060547"/>
    <n v="65.800003051757812"/>
    <x v="2"/>
    <m/>
    <m/>
    <m/>
    <m/>
    <m/>
    <m/>
    <m/>
    <m/>
    <m/>
    <s v="N"/>
    <m/>
  </r>
  <r>
    <s v="TSG_ENCL_PF"/>
    <n v="4051300730"/>
    <n v="1115343641"/>
    <s v="681840-B21"/>
    <s v="HP BLc7000 1PH 2PS 4Fan Trl IC Plat Encl"/>
    <n v="1"/>
    <s v="4SHT42047165"/>
    <d v="2015-01-13T11:44:21"/>
    <d v="2015-01-16T00:00:00"/>
    <d v="2015-01-15T16:58:21"/>
    <d v="2015-01-14T07:00:00"/>
    <d v="2015-01-14T09:07:21"/>
    <d v="2015-01-15T14:15:31"/>
    <n v="31.299999237060547"/>
    <n v="53.200000762939453"/>
    <x v="2"/>
    <m/>
    <m/>
    <m/>
    <m/>
    <m/>
    <m/>
    <m/>
    <m/>
    <m/>
    <s v="N"/>
    <m/>
  </r>
  <r>
    <s v="TSG_MLDL_PF"/>
    <n v="313916346"/>
    <n v="1115336992"/>
    <s v="654081-B21 #AKM"/>
    <s v="HP DL360p Gen8 8-SFF CTO Server"/>
    <n v="2"/>
    <s v="4SHT42045595"/>
    <d v="2015-01-13T01:58:17"/>
    <d v="2015-01-19T00:00:00"/>
    <d v="2015-01-15T20:56:23"/>
    <d v="2015-01-14T09:00:00"/>
    <d v="2015-01-14T12:40:45"/>
    <d v="2015-01-15T02:28:59"/>
    <n v="17.5"/>
    <n v="60.400001525878906"/>
    <x v="2"/>
    <m/>
    <m/>
    <m/>
    <m/>
    <m/>
    <m/>
    <m/>
    <m/>
    <m/>
    <s v="N"/>
    <s v="Y"/>
  </r>
  <r>
    <s v="TSG_MLDL_PF"/>
    <n v="313916346"/>
    <n v="1115336990"/>
    <s v="654081-B21 #AKM"/>
    <s v="HP DL360p Gen8 8-SFF CTO Server"/>
    <n v="2"/>
    <s v="4SHT42045595"/>
    <d v="2015-01-13T01:58:09"/>
    <d v="2015-01-19T00:00:00"/>
    <d v="2015-01-15T20:56:23"/>
    <d v="2015-01-14T09:00:00"/>
    <d v="2015-01-14T12:37:50"/>
    <d v="2015-01-15T02:29:17"/>
    <n v="17.5"/>
    <n v="60.400001525878906"/>
    <x v="2"/>
    <m/>
    <m/>
    <m/>
    <m/>
    <m/>
    <m/>
    <m/>
    <m/>
    <m/>
    <s v="N"/>
    <s v="Y"/>
  </r>
  <r>
    <s v="TSG_MLDL_PF"/>
    <n v="313916346"/>
    <n v="1115336991"/>
    <s v="654081-B21 #AKM"/>
    <s v="HP DL360p Gen8 8-SFF CTO Server"/>
    <n v="4"/>
    <s v="4SHT42045595"/>
    <d v="2015-01-13T01:58:09"/>
    <d v="2015-01-19T00:00:00"/>
    <d v="2015-01-15T20:56:23"/>
    <d v="2015-01-14T09:00:00"/>
    <d v="2015-01-14T12:16:29"/>
    <d v="2015-01-15T02:38:31"/>
    <n v="17.600000381469727"/>
    <n v="60.400001525878906"/>
    <x v="2"/>
    <m/>
    <m/>
    <m/>
    <m/>
    <m/>
    <m/>
    <m/>
    <m/>
    <m/>
    <s v="N"/>
    <s v="Y"/>
  </r>
  <r>
    <s v="TSG_MLDL_PF"/>
    <n v="313916346"/>
    <n v="1115336989"/>
    <s v="728551-B21 #AKM"/>
    <s v="HP DL580 Gen8 CTO Svr"/>
    <n v="2"/>
    <s v="4SHT42045595"/>
    <d v="2015-01-13T01:58:17"/>
    <d v="2015-01-19T00:00:00"/>
    <d v="2015-01-15T20:56:23"/>
    <d v="2015-01-14T11:30:00"/>
    <d v="2015-01-14T15:12:11"/>
    <d v="2015-01-15T19:09:57"/>
    <n v="31.700000762939453"/>
    <n v="60.400001525878906"/>
    <x v="2"/>
    <m/>
    <m/>
    <m/>
    <m/>
    <m/>
    <m/>
    <m/>
    <m/>
    <m/>
    <s v="N"/>
    <s v="Y"/>
  </r>
  <r>
    <s v="TSG_MLDL_PF"/>
    <n v="313916324"/>
    <n v="1115336097"/>
    <s v="728551-B21 #AKM"/>
    <s v="HP DL580 Gen8 CTO Svr"/>
    <n v="3"/>
    <s v="4SHT42045593"/>
    <d v="2015-01-13T02:00:09"/>
    <d v="2015-01-19T00:00:00"/>
    <d v="2015-01-16T04:04:26"/>
    <d v="2015-01-14T11:30:00"/>
    <d v="2015-01-14T19:48:43"/>
    <d v="2015-01-16T01:37:32"/>
    <n v="38.099998474121094"/>
    <n v="67.599998474121094"/>
    <x v="2"/>
    <m/>
    <m/>
    <m/>
    <m/>
    <m/>
    <m/>
    <m/>
    <m/>
    <m/>
    <s v="N"/>
    <m/>
  </r>
  <r>
    <s v="TSG_MLDL_PF"/>
    <n v="313914390"/>
    <n v="1115337322"/>
    <s v="719064-B21 #AKM"/>
    <s v="HP DL380 Gen9 8SFF CTO Server"/>
    <n v="4"/>
    <s v="4SHT42045589"/>
    <d v="2015-01-13T01:58:09"/>
    <d v="2015-01-19T00:00:00"/>
    <d v="2015-01-15T22:31:22"/>
    <d v="2015-01-14T09:00:00"/>
    <d v="2015-01-14T12:25:17"/>
    <d v="2015-01-15T18:42:45"/>
    <n v="33.700000762939453"/>
    <n v="62"/>
    <x v="2"/>
    <m/>
    <m/>
    <m/>
    <m/>
    <m/>
    <m/>
    <m/>
    <m/>
    <m/>
    <s v="N"/>
    <s v="Y"/>
  </r>
  <r>
    <s v="TSG_MLDL_PF"/>
    <n v="313914390"/>
    <n v="1115337323"/>
    <s v="728551-B21 #AKM"/>
    <s v="HP DL580 Gen8 CTO Svr"/>
    <n v="2"/>
    <s v="4SHT42045589"/>
    <d v="2015-01-13T01:58:09"/>
    <d v="2015-01-19T00:00:00"/>
    <d v="2015-01-15T22:31:22"/>
    <d v="2015-01-14T11:30:00"/>
    <d v="2015-01-14T19:56:45"/>
    <d v="2015-01-15T19:33:38"/>
    <n v="32.099998474121094"/>
    <n v="62"/>
    <x v="2"/>
    <m/>
    <m/>
    <m/>
    <m/>
    <m/>
    <m/>
    <m/>
    <m/>
    <m/>
    <s v="N"/>
    <s v="Y"/>
  </r>
  <r>
    <s v="TSG_MLDL_PF"/>
    <n v="313910466"/>
    <n v="1115327384"/>
    <s v="728551-B21 #AKM"/>
    <s v="HP DL580 Gen8 CTO Svr"/>
    <n v="1"/>
    <s v="4SHT42045586"/>
    <d v="2015-01-13T01:56:09"/>
    <d v="2015-01-19T00:00:00"/>
    <d v="2015-01-16T18:35:38"/>
    <d v="2015-01-14T11:30:00"/>
    <d v="2015-01-14T16:01:10"/>
    <d v="2015-01-15T07:10:41"/>
    <n v="19.700000762939453"/>
    <n v="82.099998474121094"/>
    <x v="2"/>
    <m/>
    <m/>
    <m/>
    <m/>
    <m/>
    <m/>
    <m/>
    <m/>
    <m/>
    <s v="N"/>
    <m/>
  </r>
  <r>
    <s v="TSG_MLDL_PF"/>
    <n v="313904172"/>
    <n v="1115318224"/>
    <s v="728551-B21 #AKM"/>
    <s v="HP DL580 Gen8 CTO Svr"/>
    <n v="1"/>
    <s v="4SHT42045581"/>
    <d v="2015-01-13T01:56:12"/>
    <d v="2015-01-19T00:00:00"/>
    <d v="2015-01-15T12:11:14"/>
    <d v="2015-01-14T11:30:00"/>
    <d v="2015-01-14T19:36:52"/>
    <d v="2015-01-15T10:27:48"/>
    <n v="23"/>
    <n v="51.700000762939453"/>
    <x v="0"/>
    <m/>
    <m/>
    <m/>
    <m/>
    <m/>
    <m/>
    <m/>
    <m/>
    <m/>
    <s v="N"/>
    <m/>
  </r>
  <r>
    <s v="TSG_MLDL_PF"/>
    <n v="313886422"/>
    <n v="1115292358"/>
    <s v="728551-B21 #AKM"/>
    <s v="HP DL580 Gen8 CTO Svr"/>
    <n v="5"/>
    <s v="4SHT42045546"/>
    <d v="2015-01-13T01:56:10"/>
    <d v="2015-01-19T00:00:00"/>
    <d v="2015-01-16T05:23:25"/>
    <d v="2015-01-14T11:30:00"/>
    <d v="2015-01-14T18:30:38"/>
    <d v="2015-01-16T03:21:07"/>
    <n v="39.799999237060547"/>
    <n v="68.900001525878906"/>
    <x v="2"/>
    <m/>
    <m/>
    <m/>
    <m/>
    <m/>
    <m/>
    <m/>
    <m/>
    <m/>
    <s v="N"/>
    <m/>
  </r>
  <r>
    <s v="TSG_MLDL_PF"/>
    <n v="313880590"/>
    <n v="1115287480"/>
    <s v="728551-B21 #AKM"/>
    <s v="HP DL580 Gen8 CTO Svr"/>
    <n v="1"/>
    <s v="4SHT42045512"/>
    <d v="2015-01-13T01:43:09"/>
    <d v="2015-01-19T00:00:00"/>
    <d v="2015-01-17T12:26:51"/>
    <d v="2015-01-15T18:18:00"/>
    <d v="2015-01-16T03:29:47"/>
    <d v="2015-01-17T10:01:59"/>
    <n v="39.700000762939453"/>
    <n v="99.900001525878906"/>
    <x v="2"/>
    <m/>
    <m/>
    <m/>
    <m/>
    <m/>
    <m/>
    <m/>
    <m/>
    <m/>
    <s v="Y"/>
    <m/>
  </r>
  <r>
    <s v="TSG_MLDL_PF"/>
    <n v="313880363"/>
    <n v="1115284878"/>
    <s v="728551-B21 #AKM"/>
    <s v="HP DL580 Gen8 CTO Svr"/>
    <n v="2"/>
    <s v="4SHT42045511"/>
    <d v="2015-01-13T01:43:10"/>
    <d v="2015-01-19T00:00:00"/>
    <d v="2015-01-16T19:06:37"/>
    <d v="2015-01-14T11:30:00"/>
    <d v="2015-01-14T16:10:19"/>
    <d v="2015-01-15T06:43:12"/>
    <n v="19.200000762939453"/>
    <n v="82.599998474121094"/>
    <x v="2"/>
    <m/>
    <m/>
    <m/>
    <m/>
    <m/>
    <m/>
    <m/>
    <m/>
    <m/>
    <s v="N"/>
    <s v="Y"/>
  </r>
  <r>
    <s v="TSG_MLDL_PF"/>
    <n v="313880363"/>
    <n v="1115284881"/>
    <s v="728551-B21 #AKM"/>
    <s v="HP DL580 Gen8 CTO Svr"/>
    <n v="2"/>
    <s v="4SHT42045511"/>
    <d v="2015-01-13T01:43:18"/>
    <d v="2015-01-19T00:00:00"/>
    <d v="2015-01-16T19:06:37"/>
    <d v="2015-01-14T11:30:00"/>
    <d v="2015-01-14T16:03:51"/>
    <d v="2015-01-15T12:08:34"/>
    <n v="24.600000381469727"/>
    <n v="82.599998474121094"/>
    <x v="2"/>
    <m/>
    <m/>
    <m/>
    <m/>
    <m/>
    <m/>
    <m/>
    <m/>
    <m/>
    <s v="N"/>
    <s v="Y"/>
  </r>
  <r>
    <s v="TSG_MLDL_PF"/>
    <n v="313850812"/>
    <n v="1115242114"/>
    <s v="728551-B21 #AKM"/>
    <s v="HP DL580 Gen8 CTO Svr"/>
    <n v="14"/>
    <s v="4SHT42045505"/>
    <d v="2015-01-13T01:44:09"/>
    <d v="2015-01-19T00:00:00"/>
    <d v="2015-01-16T08:28:29"/>
    <d v="2015-01-14T11:30:00"/>
    <d v="2015-01-14T18:00:12"/>
    <d v="2015-01-16T05:45:28"/>
    <n v="42.299999237060547"/>
    <n v="72"/>
    <x v="1"/>
    <m/>
    <m/>
    <m/>
    <m/>
    <m/>
    <m/>
    <m/>
    <m/>
    <m/>
    <s v="N"/>
    <m/>
  </r>
  <r>
    <s v="TSG_MLDL_PF"/>
    <n v="313865520"/>
    <n v="1115259000"/>
    <s v="728551-B21 #AKM"/>
    <s v="HP DL580 Gen8 CTO Svr"/>
    <n v="1"/>
    <s v="4SHT42045293"/>
    <d v="2015-01-13T10:09:17"/>
    <d v="2015-01-19T00:00:00"/>
    <d v="2015-01-17T09:47:46"/>
    <d v="2015-01-15T18:18:00"/>
    <d v="2015-01-15T13:23:49"/>
    <d v="2015-01-17T07:40:13"/>
    <n v="37.400001525878906"/>
    <n v="95.599998474121094"/>
    <x v="2"/>
    <m/>
    <m/>
    <m/>
    <m/>
    <m/>
    <m/>
    <m/>
    <m/>
    <m/>
    <s v="N"/>
    <m/>
  </r>
  <r>
    <s v="TSG_BLD_PF"/>
    <n v="4051299946"/>
    <n v="1115318406"/>
    <s v="641016-B21"/>
    <s v="HP BL460c Gen8 10/20Gb FLB CTO Blade"/>
    <n v="6"/>
    <s v="4SHT42044610"/>
    <d v="2015-01-12T23:05:06"/>
    <d v="2015-01-15T00:00:00"/>
    <d v="2015-01-14T06:13:50"/>
    <d v="2015-01-13T08:55:00"/>
    <d v="2015-01-13T12:10:43"/>
    <d v="2015-01-14T03:38:57"/>
    <n v="18.700000762939453"/>
    <n v="21.700000762939453"/>
    <x v="0"/>
    <m/>
    <m/>
    <m/>
    <m/>
    <m/>
    <m/>
    <m/>
    <m/>
    <m/>
    <s v="N"/>
    <m/>
  </r>
  <r>
    <s v="TSG_MLDL_PF"/>
    <n v="313915326"/>
    <n v="1115338032"/>
    <s v="653200-B21 #AKM"/>
    <s v="HP DL380p Gen8 8-SFF CTO Server"/>
    <n v="1"/>
    <s v="4SHT42043478"/>
    <d v="2015-01-12T17:51:01"/>
    <d v="2015-01-15T00:00:00"/>
    <d v="2015-01-14T20:25:03"/>
    <d v="2015-01-13T15:30:00"/>
    <d v="2015-01-13T21:29:14"/>
    <d v="2015-01-14T12:01:46"/>
    <n v="20.5"/>
    <n v="35.900001525878906"/>
    <x v="0"/>
    <m/>
    <m/>
    <m/>
    <m/>
    <m/>
    <m/>
    <m/>
    <m/>
    <m/>
    <s v="N"/>
    <s v="Y"/>
  </r>
  <r>
    <s v="TSG_MLDL_PF"/>
    <n v="313915326"/>
    <n v="1115338035"/>
    <s v="653200-B21 #AKM"/>
    <s v="HP DL380p Gen8 8-SFF CTO Server"/>
    <n v="1"/>
    <s v="4SHT42043478"/>
    <d v="2015-01-12T17:50:03"/>
    <d v="2015-01-15T00:00:00"/>
    <d v="2015-01-14T20:25:03"/>
    <d v="2015-01-13T15:30:00"/>
    <d v="2015-01-13T21:27:24"/>
    <d v="2015-01-14T11:59:55"/>
    <n v="20.5"/>
    <n v="35.900001525878906"/>
    <x v="0"/>
    <m/>
    <m/>
    <m/>
    <m/>
    <m/>
    <m/>
    <m/>
    <m/>
    <m/>
    <s v="N"/>
    <s v="Y"/>
  </r>
  <r>
    <s v="TSG_MLDL_PF"/>
    <n v="313915326"/>
    <n v="1115338036"/>
    <s v="654081-B21 #AKM"/>
    <s v="HP DL360p Gen8 8-SFF CTO Server"/>
    <n v="1"/>
    <s v="4SHT42043478"/>
    <d v="2015-01-12T17:50:01"/>
    <d v="2015-01-15T00:00:00"/>
    <d v="2015-01-14T20:25:02"/>
    <d v="2015-01-13T21:00:00"/>
    <d v="2015-01-14T01:00:40"/>
    <d v="2015-01-14T14:23:07"/>
    <n v="17.399999618530273"/>
    <n v="35.900001525878906"/>
    <x v="0"/>
    <m/>
    <m/>
    <m/>
    <m/>
    <m/>
    <m/>
    <m/>
    <m/>
    <m/>
    <s v="N"/>
    <s v="Y"/>
  </r>
  <r>
    <s v="TSG_MLDL_PF"/>
    <n v="313915326"/>
    <n v="1115338037"/>
    <s v="654081-B21 #AKM"/>
    <s v="HP DL360p Gen8 8-SFF CTO Server"/>
    <n v="1"/>
    <s v="4SHT42043478"/>
    <d v="2015-01-12T17:51:09"/>
    <d v="2015-01-15T00:00:00"/>
    <d v="2015-01-14T20:25:02"/>
    <d v="2015-01-13T21:00:00"/>
    <d v="2015-01-14T00:58:22"/>
    <d v="2015-01-14T14:24:47"/>
    <n v="17.399999618530273"/>
    <n v="35.900001525878906"/>
    <x v="0"/>
    <m/>
    <m/>
    <m/>
    <m/>
    <m/>
    <m/>
    <m/>
    <m/>
    <m/>
    <s v="N"/>
    <s v="Y"/>
  </r>
  <r>
    <s v="TSG_MLDL_PF"/>
    <n v="313915326"/>
    <n v="1115338038"/>
    <s v="653200-B21 #AKM"/>
    <s v="HP DL380p Gen8 8-SFF CTO Server"/>
    <n v="1"/>
    <s v="4SHT42043478"/>
    <d v="2015-01-12T17:50:03"/>
    <d v="2015-01-15T00:00:00"/>
    <d v="2015-01-14T20:25:02"/>
    <d v="2015-01-13T15:30:00"/>
    <d v="2015-01-13T21:34:00"/>
    <d v="2015-01-14T10:51:52"/>
    <n v="19.399999618530273"/>
    <n v="35.900001525878906"/>
    <x v="0"/>
    <m/>
    <m/>
    <m/>
    <m/>
    <m/>
    <m/>
    <m/>
    <m/>
    <m/>
    <s v="N"/>
    <s v="Y"/>
  </r>
  <r>
    <s v="TSG_MLDL_PF"/>
    <n v="313915326"/>
    <n v="1115338039"/>
    <s v="654081-B21 #AKM"/>
    <s v="HP DL360p Gen8 8-SFF CTO Server"/>
    <n v="4"/>
    <s v="4SHT42043478"/>
    <d v="2015-01-12T17:51:01"/>
    <d v="2015-01-15T00:00:00"/>
    <d v="2015-01-14T20:25:02"/>
    <d v="2015-01-13T21:00:00"/>
    <d v="2015-01-14T01:04:01"/>
    <d v="2015-01-14T16:49:38"/>
    <n v="19.799999237060547"/>
    <n v="35.900001525878906"/>
    <x v="0"/>
    <m/>
    <m/>
    <m/>
    <m/>
    <m/>
    <m/>
    <m/>
    <m/>
    <m/>
    <s v="N"/>
    <s v="Y"/>
  </r>
  <r>
    <s v="TSG_MLDL_PF"/>
    <n v="313915326"/>
    <n v="1115338040"/>
    <s v="653200-B21 #AKM"/>
    <s v="HP DL380p Gen8 8-SFF CTO Server"/>
    <n v="2"/>
    <s v="4SHT42043478"/>
    <d v="2015-01-12T17:51:01"/>
    <d v="2015-01-15T00:00:00"/>
    <d v="2015-01-14T20:25:03"/>
    <d v="2015-01-13T15:30:00"/>
    <d v="2015-01-13T21:31:56"/>
    <d v="2015-01-14T10:51:15"/>
    <n v="19.399999618530273"/>
    <n v="35.900001525878906"/>
    <x v="0"/>
    <m/>
    <m/>
    <m/>
    <m/>
    <m/>
    <m/>
    <m/>
    <m/>
    <m/>
    <s v="N"/>
    <s v="Y"/>
  </r>
  <r>
    <s v="TSG_MLDL_PF"/>
    <n v="313914088"/>
    <n v="1115334066"/>
    <s v="652065-B21 #AKM"/>
    <s v="HP ML350pT08 SFF CTO Server"/>
    <n v="1"/>
    <s v="4SHT42043471"/>
    <d v="2015-01-12T17:49:01"/>
    <d v="2015-01-15T00:00:00"/>
    <d v="2015-01-15T19:37:19"/>
    <d v="2015-01-13T21:00:00"/>
    <d v="2015-01-14T01:31:14"/>
    <d v="2015-01-15T18:31:26"/>
    <n v="45.5"/>
    <n v="59.099998474121094"/>
    <x v="3"/>
    <m/>
    <m/>
    <m/>
    <m/>
    <m/>
    <m/>
    <m/>
    <m/>
    <m/>
    <s v="N"/>
    <m/>
  </r>
  <r>
    <s v="TSG_MLDL_PF"/>
    <n v="313905297"/>
    <n v="1115338185"/>
    <s v="722446-B21 #AKM"/>
    <s v="HP ML310e Gen8 v2 4LFF CTO Svr"/>
    <n v="70"/>
    <s v="4SHT42043434"/>
    <d v="2015-01-12T17:59:04"/>
    <d v="2015-01-15T00:00:00"/>
    <d v="2015-01-16T20:25:40"/>
    <d v="2015-01-13T21:00:00"/>
    <d v="2015-01-14T01:55:15"/>
    <d v="2015-01-16T18:05:57"/>
    <n v="69.099998474121094"/>
    <n v="83.900001525878906"/>
    <x v="1"/>
    <m/>
    <m/>
    <m/>
    <m/>
    <m/>
    <m/>
    <m/>
    <m/>
    <m/>
    <s v="N"/>
    <m/>
  </r>
  <r>
    <s v="TSG_MLDL_PF"/>
    <n v="313894062"/>
    <n v="1115304069"/>
    <s v="653200-B21 #AKM"/>
    <s v="HP DL380p Gen8 8-SFF CTO Server"/>
    <n v="2"/>
    <s v="4SHT42043408"/>
    <d v="2015-01-12T18:00:10"/>
    <d v="2015-01-16T00:00:00"/>
    <d v="2015-01-14T18:18:05"/>
    <d v="2015-01-13T15:30:00"/>
    <d v="2015-01-14T00:44:26"/>
    <d v="2015-01-14T15:28:26"/>
    <n v="24"/>
    <n v="33.799999237060547"/>
    <x v="0"/>
    <m/>
    <m/>
    <m/>
    <m/>
    <m/>
    <m/>
    <m/>
    <m/>
    <m/>
    <s v="N"/>
    <m/>
  </r>
  <r>
    <s v="TSG_BLD_PF"/>
    <n v="313886086"/>
    <n v="1115293648"/>
    <s v="735151-B21"/>
    <s v="HP BL460c Gen8 E5-v2 10/20Gb CTO Blade"/>
    <n v="2"/>
    <s v="4SHT42043392"/>
    <d v="2015-01-12T17:48:10"/>
    <d v="2015-01-15T00:00:00"/>
    <d v="2015-01-14T06:13:52"/>
    <d v="2015-01-13T08:55:00"/>
    <d v="2015-01-13T12:08:02"/>
    <d v="2015-01-14T03:38:23"/>
    <n v="18.700000762939453"/>
    <n v="21.700000762939453"/>
    <x v="0"/>
    <m/>
    <m/>
    <m/>
    <m/>
    <m/>
    <m/>
    <m/>
    <m/>
    <m/>
    <s v="N"/>
    <m/>
  </r>
  <r>
    <s v="TSG_MLDL_PF"/>
    <n v="313888000"/>
    <n v="1115294808"/>
    <s v="653200-B21 #AKM"/>
    <s v="HP DL380p Gen8 8-SFF CTO Server"/>
    <n v="2"/>
    <s v="4SHT42042690"/>
    <d v="2015-01-12T16:04:59"/>
    <d v="2015-01-16T00:00:00"/>
    <d v="2015-01-14T09:31:53"/>
    <d v="2015-01-13T15:30:00"/>
    <d v="2015-01-13T18:06:13"/>
    <d v="2015-01-14T06:44:46"/>
    <n v="15.199999809265137"/>
    <n v="25"/>
    <x v="0"/>
    <m/>
    <m/>
    <m/>
    <m/>
    <m/>
    <m/>
    <m/>
    <m/>
    <m/>
    <s v="N"/>
    <m/>
  </r>
  <r>
    <s v="TSG_MLDL_PF"/>
    <n v="313884298"/>
    <n v="1115294965"/>
    <s v="653200-B21 #AKM"/>
    <s v="HP DL380p Gen8 8-SFF CTO Server"/>
    <n v="2"/>
    <s v="4SHT42042681"/>
    <d v="2015-01-12T16:03:59"/>
    <d v="2015-01-16T00:00:00"/>
    <d v="2015-01-14T14:35:03"/>
    <d v="2015-01-13T15:30:00"/>
    <d v="2015-01-13T19:41:37"/>
    <d v="2015-01-14T10:50:14"/>
    <n v="19.299999237060547"/>
    <n v="30.100000381469727"/>
    <x v="0"/>
    <m/>
    <m/>
    <m/>
    <m/>
    <m/>
    <m/>
    <m/>
    <m/>
    <m/>
    <s v="N"/>
    <m/>
  </r>
  <r>
    <s v="TSG_MLDL_PF"/>
    <n v="313883881"/>
    <n v="1115291849"/>
    <s v="665554-B21 #AKM"/>
    <s v="HP DL380p Gen8 25-SFF CTO Server"/>
    <n v="1"/>
    <s v="4SHT42042679"/>
    <d v="2015-01-12T16:02:59"/>
    <d v="2015-01-15T00:00:00"/>
    <d v="2015-01-14T09:31:53"/>
    <d v="2015-01-13T15:30:00"/>
    <d v="2015-01-13T19:21:03"/>
    <d v="2015-01-14T06:19:07"/>
    <n v="14.800000190734863"/>
    <n v="25"/>
    <x v="0"/>
    <m/>
    <m/>
    <m/>
    <m/>
    <m/>
    <m/>
    <m/>
    <m/>
    <m/>
    <s v="N"/>
    <m/>
  </r>
  <r>
    <s v="TSG_MLDL_PF"/>
    <n v="313863794"/>
    <n v="1115272294"/>
    <s v="L6B07A"/>
    <s v="HP DL360p HY Qih-F4 E5-2630v2 Spcl Svr"/>
    <n v="98"/>
    <s v="4SHT42042197"/>
    <d v="2015-01-12T14:24:05"/>
    <d v="2015-01-16T00:00:00"/>
    <d v="2015-01-14T18:18:05"/>
    <d v="2015-01-13T11:00:00"/>
    <d v="2015-01-13T15:12:45"/>
    <d v="2015-01-14T15:21:34"/>
    <n v="28.399999618530273"/>
    <n v="33.799999237060547"/>
    <x v="0"/>
    <m/>
    <m/>
    <m/>
    <m/>
    <m/>
    <m/>
    <m/>
    <m/>
    <m/>
    <s v="N"/>
    <m/>
  </r>
  <r>
    <s v="TSG_MLDL_PF"/>
    <n v="313898478"/>
    <n v="1115317614"/>
    <s v="665552-B21 #AKM"/>
    <s v="HP DL380p Gen8 12-LFF CTO Server"/>
    <n v="4"/>
    <s v="4SHT42039872"/>
    <d v="2015-01-12T02:19:45"/>
    <d v="2015-01-16T00:00:00"/>
    <d v="2015-01-16T11:39:30"/>
    <d v="2015-01-13T15:30:00"/>
    <d v="2015-01-13T21:01:07"/>
    <d v="2015-01-16T08:37:12"/>
    <n v="65.099998474121094"/>
    <n v="75.199996948242187"/>
    <x v="0"/>
    <m/>
    <m/>
    <m/>
    <m/>
    <m/>
    <m/>
    <m/>
    <m/>
    <m/>
    <s v="Y"/>
    <m/>
  </r>
  <r>
    <s v="TSG_MLDL_PF"/>
    <n v="313898477"/>
    <n v="1115317613"/>
    <s v="665552-B21 #AKM"/>
    <s v="HP DL380p Gen8 12-LFF CTO Server"/>
    <n v="4"/>
    <s v="4SHT42039871"/>
    <d v="2015-01-12T02:19:43"/>
    <d v="2015-01-16T00:00:00"/>
    <d v="2015-01-16T10:51:30"/>
    <d v="2015-01-13T15:30:00"/>
    <d v="2015-01-14T00:06:55"/>
    <d v="2015-01-16T08:32:19"/>
    <n v="65"/>
    <n v="74.300003051757813"/>
    <x v="0"/>
    <m/>
    <m/>
    <m/>
    <m/>
    <m/>
    <m/>
    <m/>
    <m/>
    <m/>
    <s v="Y"/>
    <m/>
  </r>
  <r>
    <s v="TSG_MLDL_PF"/>
    <n v="313898476"/>
    <n v="1115317612"/>
    <s v="665552-B21 #AKM"/>
    <s v="HP DL380p Gen8 12-LFF CTO Server"/>
    <n v="4"/>
    <s v="4SHT42039870"/>
    <d v="2015-01-12T02:19:45"/>
    <d v="2015-01-16T00:00:00"/>
    <d v="2015-01-16T11:39:30"/>
    <d v="2015-01-13T15:30:00"/>
    <d v="2015-01-13T21:01:44"/>
    <d v="2015-01-16T08:41:10"/>
    <n v="65.199996948242188"/>
    <n v="75.199996948242187"/>
    <x v="0"/>
    <m/>
    <m/>
    <m/>
    <m/>
    <m/>
    <m/>
    <m/>
    <m/>
    <m/>
    <s v="Y"/>
    <m/>
  </r>
  <r>
    <s v="TSG_MLDL_PF"/>
    <n v="313898475"/>
    <n v="1115310711"/>
    <s v="665552-B21 #AKM"/>
    <s v="HP DL380p Gen8 12-LFF CTO Server"/>
    <n v="4"/>
    <s v="4SHT42039869"/>
    <d v="2015-01-12T02:19:52"/>
    <d v="2015-01-16T00:00:00"/>
    <d v="2015-01-16T11:39:30"/>
    <d v="2015-01-13T15:30:00"/>
    <d v="2015-01-14T00:17:09"/>
    <d v="2015-01-16T08:39:12"/>
    <n v="65.199996948242188"/>
    <n v="75.199996948242187"/>
    <x v="0"/>
    <m/>
    <m/>
    <m/>
    <m/>
    <m/>
    <m/>
    <m/>
    <m/>
    <m/>
    <s v="Y"/>
    <m/>
  </r>
  <r>
    <s v="TSG_MLDL_PF"/>
    <n v="313878077"/>
    <n v="1115280519"/>
    <s v="728551-B21 #AKM"/>
    <s v="HP DL580 Gen8 CTO Svr"/>
    <n v="1"/>
    <s v="4SHT42039856"/>
    <d v="2015-01-12T20:41:12"/>
    <d v="2015-01-16T00:00:00"/>
    <d v="2015-01-16T18:35:38"/>
    <d v="2015-01-14T11:30:00"/>
    <d v="2015-01-14T19:47:29"/>
    <d v="2015-01-16T15:25:55"/>
    <n v="51.900001525878906"/>
    <n v="82.099998474121094"/>
    <x v="1"/>
    <m/>
    <m/>
    <m/>
    <m/>
    <m/>
    <m/>
    <m/>
    <m/>
    <m/>
    <s v="N"/>
    <m/>
  </r>
  <r>
    <s v="TSG_MLDL_PF"/>
    <n v="313877580"/>
    <n v="1115282514"/>
    <s v="728551-B21 #AKM"/>
    <s v="HP DL580 Gen8 CTO Svr"/>
    <n v="1"/>
    <s v="4SHT42039855"/>
    <d v="2015-01-12T02:03:51"/>
    <d v="2015-01-16T00:00:00"/>
    <d v="2015-01-15T09:31:10"/>
    <d v="2015-01-14T11:30:00"/>
    <d v="2015-01-14T18:38:35"/>
    <d v="2015-01-15T07:10:23"/>
    <n v="19.700000762939453"/>
    <n v="49"/>
    <x v="0"/>
    <m/>
    <m/>
    <m/>
    <m/>
    <m/>
    <m/>
    <m/>
    <m/>
    <m/>
    <s v="N"/>
    <m/>
  </r>
  <r>
    <s v="TSG_MLDL_PF"/>
    <n v="313863795"/>
    <n v="1115272295"/>
    <s v="L6B07A"/>
    <s v="HP DL360p HY Qih-F4 E5-2630v2 Spcl Svr"/>
    <n v="12"/>
    <s v="4SHT42039671"/>
    <d v="2015-01-12T00:44:41"/>
    <d v="2015-01-16T00:00:00"/>
    <d v="2015-01-14T16:43:00"/>
    <d v="2015-01-13T11:00:00"/>
    <d v="2015-01-13T15:22:00"/>
    <d v="2015-01-14T12:20:29"/>
    <n v="25.299999237060547"/>
    <n v="32.200000762939453"/>
    <x v="0"/>
    <m/>
    <m/>
    <m/>
    <m/>
    <m/>
    <m/>
    <m/>
    <m/>
    <m/>
    <s v="N"/>
    <m/>
  </r>
  <r>
    <s v="TSG_ENCL_PF"/>
    <n v="313906667"/>
    <n v="1115321296"/>
    <s v="681840-B21"/>
    <s v="HP BLc7000 1PH 2PS 4Fan Trl IC Plat Encl"/>
    <n v="1"/>
    <s v="4SHT42032825"/>
    <d v="2015-01-09T19:57:50"/>
    <d v="2015-01-14T00:00:00"/>
    <d v="2015-01-12T14:17:16"/>
    <d v="2015-01-10T12:00:00"/>
    <d v="2015-01-10T12:32:22"/>
    <d v="2015-01-10T16:33:16"/>
    <n v="4.5999999046325684"/>
    <n v="36.5"/>
    <x v="0"/>
    <m/>
    <m/>
    <m/>
    <m/>
    <m/>
    <m/>
    <m/>
    <m/>
    <m/>
    <s v="N"/>
    <s v="Y"/>
  </r>
  <r>
    <s v="TSG_BLD_PF"/>
    <n v="313906667"/>
    <n v="1115321290"/>
    <s v="735151-B21"/>
    <s v="HP BL460c Gen8 E5-v2 10/20Gb CTO Blade"/>
    <n v="11"/>
    <s v="4SHT42032825"/>
    <d v="2015-01-09T20:01:50"/>
    <d v="2015-01-14T00:00:00"/>
    <d v="2015-01-12T14:17:16"/>
    <d v="2015-01-10T12:00:00"/>
    <d v="2015-01-10T12:33:09"/>
    <d v="2015-01-12T09:51:50"/>
    <n v="20.5"/>
    <n v="36.5"/>
    <x v="0"/>
    <m/>
    <m/>
    <m/>
    <m/>
    <m/>
    <m/>
    <m/>
    <m/>
    <m/>
    <s v="N"/>
    <s v="Y"/>
  </r>
  <r>
    <s v="TSG_MLDL_PF"/>
    <n v="313898464"/>
    <n v="1115310692"/>
    <s v="665553-B21 #AKM"/>
    <s v="HP DL380p Gen8 8-LFF CTO Server"/>
    <n v="5"/>
    <s v="4SHT42032255"/>
    <d v="2015-01-09T18:33:48"/>
    <d v="2015-01-14T00:00:00"/>
    <d v="2015-01-16T11:07:48"/>
    <d v="2015-01-12T20:27:00"/>
    <d v="2015-01-13T00:19:36"/>
    <d v="2015-01-16T08:35:11"/>
    <n v="72.099998474121094"/>
    <n v="112.59999847412109"/>
    <x v="1"/>
    <m/>
    <m/>
    <m/>
    <m/>
    <m/>
    <m/>
    <m/>
    <m/>
    <m/>
    <s v="Y"/>
    <m/>
  </r>
  <r>
    <s v="TSG_MLDL_PF"/>
    <n v="313901307"/>
    <n v="1115311452"/>
    <s v="703586-B21 #AKM"/>
    <s v="HP DL580R07 CN CTO Server"/>
    <n v="1"/>
    <s v="4SHT42031854"/>
    <d v="2015-01-09T17:15:46"/>
    <d v="2015-01-14T00:00:00"/>
    <d v="2015-01-14T16:59:02"/>
    <d v="2015-01-10T09:30:00"/>
    <d v="2015-01-10T14:07:42"/>
    <d v="2015-01-12T10:37:55"/>
    <n v="23"/>
    <n v="71.699996948242188"/>
    <x v="2"/>
    <m/>
    <m/>
    <m/>
    <m/>
    <m/>
    <m/>
    <m/>
    <m/>
    <m/>
    <s v="N"/>
    <s v="Y"/>
  </r>
  <r>
    <s v="TSG_MLDL_PF"/>
    <n v="313901307"/>
    <n v="1115311451"/>
    <s v="653200-B21 #AKM"/>
    <s v="HP DL380p Gen8 8-SFF CTO Server"/>
    <n v="5"/>
    <s v="4SHT42031854"/>
    <d v="2015-01-09T17:15:47"/>
    <d v="2015-01-14T00:00:00"/>
    <d v="2015-01-14T16:59:02"/>
    <d v="2015-01-10T09:30:00"/>
    <d v="2015-01-10T13:35:27"/>
    <d v="2015-01-12T10:38:56"/>
    <n v="23"/>
    <n v="71.699996948242188"/>
    <x v="2"/>
    <m/>
    <m/>
    <m/>
    <m/>
    <m/>
    <m/>
    <m/>
    <m/>
    <m/>
    <s v="N"/>
    <s v="Y"/>
  </r>
  <r>
    <s v="TSG_MLDL_PF"/>
    <n v="313898450"/>
    <n v="1115310676"/>
    <s v="661190-B21 #AKM"/>
    <s v="HP DL360e Gen8 4LFF CTO Server"/>
    <n v="5"/>
    <s v="4SHT42031849"/>
    <d v="2015-01-09T17:15:46"/>
    <d v="2015-01-14T00:00:00"/>
    <d v="2015-01-14T16:43:01"/>
    <d v="2015-01-10T09:30:00"/>
    <d v="2015-01-10T12:05:20"/>
    <d v="2015-01-14T14:01:28"/>
    <n v="52.5"/>
    <n v="71.400001525878906"/>
    <x v="0"/>
    <m/>
    <m/>
    <m/>
    <m/>
    <m/>
    <m/>
    <m/>
    <m/>
    <m/>
    <s v="Y"/>
    <m/>
  </r>
  <r>
    <s v="TSG_MLDL_PF"/>
    <n v="313898448"/>
    <n v="1115310673"/>
    <s v="661190-B21 #AKM"/>
    <s v="HP DL360e Gen8 4LFF CTO Server"/>
    <n v="5"/>
    <s v="4SHT42031848"/>
    <d v="2015-01-09T17:14:48"/>
    <d v="2015-01-14T00:00:00"/>
    <d v="2015-01-14T16:43:01"/>
    <d v="2015-01-10T09:30:00"/>
    <d v="2015-01-10T12:16:16"/>
    <d v="2015-01-14T14:04:37"/>
    <n v="52.599998474121094"/>
    <n v="71.5"/>
    <x v="0"/>
    <m/>
    <m/>
    <m/>
    <m/>
    <m/>
    <m/>
    <m/>
    <m/>
    <m/>
    <s v="Y"/>
    <m/>
  </r>
  <r>
    <s v="TSG_MLDL_PF"/>
    <n v="313898447"/>
    <n v="1115310670"/>
    <s v="661190-B21 #AKM"/>
    <s v="HP DL360e Gen8 4LFF CTO Server"/>
    <n v="5"/>
    <s v="4SHT42031847"/>
    <d v="2015-01-09T17:14:47"/>
    <d v="2015-01-14T00:00:00"/>
    <d v="2015-01-14T16:43:01"/>
    <d v="2015-01-10T09:30:00"/>
    <d v="2015-01-10T12:26:20"/>
    <d v="2015-01-14T13:59:47"/>
    <n v="52.5"/>
    <n v="71.5"/>
    <x v="0"/>
    <m/>
    <m/>
    <m/>
    <m/>
    <m/>
    <m/>
    <m/>
    <m/>
    <m/>
    <s v="Y"/>
    <m/>
  </r>
  <r>
    <s v="TSG_MLDL_PF"/>
    <n v="313898446"/>
    <n v="1115310665"/>
    <s v="661190-B21 #AKM"/>
    <s v="HP DL360e Gen8 4LFF CTO Server"/>
    <n v="5"/>
    <s v="4SHT42031846"/>
    <d v="2015-01-09T17:14:47"/>
    <d v="2015-01-14T00:00:00"/>
    <d v="2015-01-14T16:43:01"/>
    <d v="2015-01-10T09:30:00"/>
    <d v="2015-01-10T12:37:15"/>
    <d v="2015-01-14T14:04:00"/>
    <n v="52.599998474121094"/>
    <n v="71.5"/>
    <x v="0"/>
    <m/>
    <m/>
    <m/>
    <m/>
    <m/>
    <m/>
    <m/>
    <m/>
    <m/>
    <s v="Y"/>
    <m/>
  </r>
  <r>
    <s v="TSG_MLDL_PF"/>
    <n v="313892444"/>
    <n v="1115300437"/>
    <s v="653200-B21 #AKM"/>
    <s v="HP DL380p Gen8 8-SFF CTO Server"/>
    <n v="3"/>
    <s v="4SHT42031258"/>
    <d v="2015-01-09T15:53:46"/>
    <d v="2015-01-14T00:00:00"/>
    <d v="2015-01-12T18:47:20"/>
    <d v="2015-01-10T01:10:00"/>
    <d v="2015-01-10T10:40:36"/>
    <d v="2015-01-11T04:30:32"/>
    <n v="27.299999237060547"/>
    <n v="40.599998474121094"/>
    <x v="0"/>
    <m/>
    <m/>
    <m/>
    <m/>
    <m/>
    <m/>
    <m/>
    <m/>
    <m/>
    <s v="N"/>
    <m/>
  </r>
  <r>
    <s v="TSG_MLDL_PF"/>
    <n v="313892444"/>
    <n v="1115300438"/>
    <s v="665553-B21 #AKM"/>
    <s v="HP DL380p Gen8 8-LFF CTO Server"/>
    <n v="2"/>
    <s v="4SHT42031257"/>
    <d v="2015-01-09T15:52:44"/>
    <d v="2015-01-14T00:00:00"/>
    <d v="2015-01-12T18:47:20"/>
    <d v="2015-01-10T01:10:00"/>
    <d v="2015-01-10T10:53:48"/>
    <d v="2015-01-10T22:40:36"/>
    <n v="21.5"/>
    <n v="40.599998474121094"/>
    <x v="0"/>
    <m/>
    <m/>
    <m/>
    <m/>
    <m/>
    <m/>
    <m/>
    <m/>
    <m/>
    <s v="N"/>
    <m/>
  </r>
  <r>
    <s v="TSG_MLDL_PF"/>
    <n v="313811028"/>
    <n v="1115184365"/>
    <s v="E7W80A"/>
    <s v="HP StoreEasy 1640 Storage"/>
    <n v="20"/>
    <s v="4SHT42031015"/>
    <d v="2015-01-09T15:13:44"/>
    <d v="2015-01-14T00:00:00"/>
    <d v="2015-01-16T12:59:34"/>
    <d v="2015-01-14T11:30:00"/>
    <d v="2015-01-14T18:42:13"/>
    <d v="2015-01-16T10:08:31"/>
    <n v="46.599998474121094"/>
    <n v="117.80000305175781"/>
    <x v="1"/>
    <m/>
    <m/>
    <m/>
    <m/>
    <m/>
    <m/>
    <m/>
    <m/>
    <m/>
    <s v="N"/>
    <m/>
  </r>
  <r>
    <s v="TSG_MLDL_PF"/>
    <n v="313909841"/>
    <n v="1115321011"/>
    <s v="653200-B21 #AKM"/>
    <s v="HP DL380p Gen8 8-SFF CTO Server"/>
    <n v="1"/>
    <s v="4SHT42030780"/>
    <d v="2015-01-09T14:09:51"/>
    <d v="2015-01-14T00:00:00"/>
    <d v="2015-01-15T08:12:11"/>
    <d v="2015-01-10T01:10:00"/>
    <d v="2015-01-10T10:36:36"/>
    <d v="2015-01-11T00:11:19"/>
    <n v="23"/>
    <n v="90"/>
    <x v="2"/>
    <m/>
    <m/>
    <m/>
    <m/>
    <m/>
    <m/>
    <m/>
    <m/>
    <m/>
    <s v="N"/>
    <s v="Y"/>
  </r>
  <r>
    <s v="TSG_MLDL_PF"/>
    <n v="313909841"/>
    <n v="1115326912"/>
    <s v="E7W81A"/>
    <s v="HP StoreEasy 1640 8TB SAS Storage"/>
    <n v="1"/>
    <s v="4SHT42030780"/>
    <d v="2015-01-13T09:50:17"/>
    <d v="2015-01-14T00:00:00"/>
    <d v="2015-01-15T08:12:11"/>
    <d v="2015-01-14T09:00:00"/>
    <d v="2015-01-14T12:11:24"/>
    <d v="2015-01-15T06:29:58"/>
    <n v="21.5"/>
    <n v="46.400001525878906"/>
    <x v="0"/>
    <m/>
    <m/>
    <m/>
    <m/>
    <m/>
    <m/>
    <m/>
    <m/>
    <m/>
    <s v="N"/>
    <s v="Y"/>
  </r>
  <r>
    <s v="TSG_MLDL_PF"/>
    <n v="313908449"/>
    <n v="1115325823"/>
    <s v="654081-B21 #AKM"/>
    <s v="HP DL360p Gen8 8-SFF CTO Server"/>
    <n v="4"/>
    <s v="4SHT42030773"/>
    <d v="2015-01-09T14:10:43"/>
    <d v="2015-01-14T00:00:00"/>
    <d v="2015-01-12T14:01:17"/>
    <d v="2015-01-10T01:10:00"/>
    <d v="2015-01-10T09:30:05"/>
    <d v="2015-01-11T00:29:50"/>
    <n v="23.299999237060547"/>
    <n v="42.299999237060547"/>
    <x v="0"/>
    <m/>
    <m/>
    <m/>
    <m/>
    <m/>
    <m/>
    <m/>
    <m/>
    <m/>
    <s v="N"/>
    <s v="Y"/>
  </r>
  <r>
    <s v="TSG_MLDL_PF"/>
    <n v="313908449"/>
    <n v="1115325822"/>
    <s v="654081-B21 #AKM"/>
    <s v="HP DL360p Gen8 8-SFF CTO Server"/>
    <n v="3"/>
    <s v="4SHT42030773"/>
    <d v="2015-01-09T14:10:43"/>
    <d v="2015-01-14T00:00:00"/>
    <d v="2015-01-12T14:01:17"/>
    <d v="2015-01-10T01:10:00"/>
    <d v="2015-01-10T09:38:45"/>
    <d v="2015-01-12T10:49:09"/>
    <n v="31.299999237060547"/>
    <n v="42.299999237060547"/>
    <x v="0"/>
    <m/>
    <m/>
    <m/>
    <m/>
    <m/>
    <m/>
    <m/>
    <m/>
    <m/>
    <s v="N"/>
    <s v="Y"/>
  </r>
  <r>
    <s v="TSG_MLDL_PF"/>
    <n v="313898456"/>
    <n v="1115310684"/>
    <s v="661190-B21 #AKM"/>
    <s v="HP DL360e Gen8 4LFF CTO Server"/>
    <n v="5"/>
    <s v="4SHT42030733"/>
    <d v="2015-01-09T14:09:51"/>
    <d v="2015-01-14T00:00:00"/>
    <d v="2015-01-13T18:18:39"/>
    <d v="2015-01-10T09:30:00"/>
    <d v="2015-01-10T13:06:18"/>
    <d v="2015-01-13T15:50:06"/>
    <n v="30.299999237060547"/>
    <n v="52.200000762939453"/>
    <x v="0"/>
    <m/>
    <m/>
    <m/>
    <m/>
    <m/>
    <m/>
    <m/>
    <m/>
    <m/>
    <s v="Y"/>
    <m/>
  </r>
  <r>
    <s v="TSG_MLDL_PF"/>
    <n v="313898455"/>
    <n v="1115310683"/>
    <s v="661190-B21 #AKM"/>
    <s v="HP DL360e Gen8 4LFF CTO Server"/>
    <n v="5"/>
    <s v="4SHT42030732"/>
    <d v="2015-01-09T14:08:44"/>
    <d v="2015-01-14T00:00:00"/>
    <d v="2015-01-13T18:18:39"/>
    <d v="2015-01-10T09:30:00"/>
    <d v="2015-01-10T12:52:03"/>
    <d v="2015-01-13T15:51:58"/>
    <n v="30.399999618530273"/>
    <n v="52.200000762939453"/>
    <x v="0"/>
    <m/>
    <m/>
    <m/>
    <m/>
    <m/>
    <m/>
    <m/>
    <m/>
    <m/>
    <s v="Y"/>
    <m/>
  </r>
  <r>
    <s v="TSG_BLD_PF"/>
    <n v="313911014"/>
    <n v="1115326360"/>
    <s v="735151-B21"/>
    <s v="HP BL460c Gen8 E5-v2 10/20Gb CTO Blade"/>
    <n v="1"/>
    <s v="4SHT42029590"/>
    <d v="2015-01-09T10:34:38"/>
    <d v="2015-01-13T00:00:00"/>
    <d v="2015-01-13T14:51:44"/>
    <d v="2015-01-09T22:55:00"/>
    <d v="2015-01-10T02:12:59"/>
    <d v="2015-01-10T17:07:05"/>
    <n v="18.200000762939453"/>
    <n v="52.299999237060547"/>
    <x v="0"/>
    <m/>
    <m/>
    <m/>
    <m/>
    <m/>
    <m/>
    <m/>
    <m/>
    <m/>
    <s v="N"/>
    <m/>
  </r>
  <r>
    <s v="TSG_MLDL_PF"/>
    <n v="313892444"/>
    <n v="1115300441"/>
    <s v="665553-B21 #AKM"/>
    <s v="HP DL380p Gen8 8-LFF CTO Server"/>
    <n v="2"/>
    <s v="4SHT42026467"/>
    <d v="2015-01-09T18:31:59"/>
    <d v="2015-01-14T00:00:00"/>
    <d v="2015-01-13T15:23:46"/>
    <d v="2015-01-10T09:30:00"/>
    <d v="2015-01-10T13:32:32"/>
    <d v="2015-01-12T13:31:37"/>
    <n v="23"/>
    <n v="44.900001525878906"/>
    <x v="0"/>
    <m/>
    <m/>
    <m/>
    <m/>
    <m/>
    <m/>
    <m/>
    <m/>
    <m/>
    <s v="N"/>
    <m/>
  </r>
  <r>
    <s v="TSG_MLDL_PF"/>
    <n v="313887252"/>
    <n v="1115293937"/>
    <s v="728551-B21 #AKM"/>
    <s v="HP DL580 Gen8 CTO Svr"/>
    <n v="4"/>
    <s v="4SHT42026466"/>
    <d v="2015-01-08T20:52:26"/>
    <d v="2015-01-13T00:00:00"/>
    <d v="2015-01-14T12:26:53"/>
    <d v="2015-01-09T15:38:00"/>
    <d v="2015-01-10T01:59:40"/>
    <d v="2015-01-14T10:39:43"/>
    <n v="67"/>
    <n v="87.599998474121094"/>
    <x v="1"/>
    <m/>
    <m/>
    <m/>
    <m/>
    <m/>
    <m/>
    <m/>
    <m/>
    <m/>
    <s v="N"/>
    <m/>
  </r>
  <r>
    <s v="TSG_MLDL_PF"/>
    <n v="313886422"/>
    <n v="1115292357"/>
    <s v="728551-B21 #AKM"/>
    <s v="HP DL580 Gen8 CTO Svr"/>
    <n v="17"/>
    <s v="4SHT42026465"/>
    <d v="2015-01-08T20:58:26"/>
    <d v="2015-01-13T00:00:00"/>
    <d v="2015-01-14T16:43:00"/>
    <d v="2015-01-09T15:38:00"/>
    <d v="2015-01-09T23:58:45"/>
    <d v="2015-01-14T12:56:00"/>
    <n v="69.300003051757812"/>
    <n v="91.699996948242187"/>
    <x v="1"/>
    <m/>
    <m/>
    <m/>
    <m/>
    <m/>
    <m/>
    <m/>
    <m/>
    <m/>
    <s v="N"/>
    <m/>
  </r>
  <r>
    <s v="TSG_ENCL_PF"/>
    <n v="313883460"/>
    <n v="1115289009"/>
    <s v="681844-B21"/>
    <s v="HP BLc7000 CTO 3 IN LCD Plat Enclosure"/>
    <n v="6"/>
    <s v="4SHT42026462"/>
    <d v="2015-01-08T20:56:26"/>
    <d v="2015-01-14T00:00:00"/>
    <d v="2015-01-13T12:42:34"/>
    <d v="2015-01-09T15:38:00"/>
    <d v="2015-01-09T16:38:05"/>
    <d v="2015-01-10T05:55:10"/>
    <n v="14.300000190734863"/>
    <n v="63.799999237060547"/>
    <x v="2"/>
    <m/>
    <m/>
    <m/>
    <m/>
    <m/>
    <m/>
    <m/>
    <m/>
    <m/>
    <s v="N"/>
    <s v="Y"/>
  </r>
  <r>
    <s v="TSG_BLD_PF"/>
    <n v="313883460"/>
    <n v="1115289010"/>
    <s v="679118-B21"/>
    <s v="HP BL660c Gen8 10/20Gb FLB CTO Blade"/>
    <n v="48"/>
    <s v="4SHT42026462"/>
    <d v="2015-01-08T21:05:27"/>
    <d v="2015-01-14T00:00:00"/>
    <d v="2015-01-13T12:42:34"/>
    <d v="2015-01-09T15:38:00"/>
    <d v="2015-01-09T16:56:36"/>
    <d v="2015-01-13T10:17:24"/>
    <n v="42.700000762939453"/>
    <n v="63.599998474121094"/>
    <x v="1"/>
    <m/>
    <m/>
    <m/>
    <m/>
    <m/>
    <m/>
    <m/>
    <m/>
    <m/>
    <s v="N"/>
    <s v="Y"/>
  </r>
  <r>
    <s v="TSG_MLDL_PF"/>
    <n v="313874451"/>
    <n v="1115277461"/>
    <s v="728551-B21 #AKM"/>
    <s v="HP DL580 Gen8 CTO Svr"/>
    <n v="10"/>
    <s v="4SHT42026461"/>
    <d v="2015-01-08T20:55:32"/>
    <d v="2015-01-13T00:00:00"/>
    <d v="2015-01-14T16:59:02"/>
    <d v="2015-01-09T15:38:00"/>
    <d v="2015-01-10T02:15:24"/>
    <d v="2015-01-11T04:32:05"/>
    <n v="36.900001525878906"/>
    <n v="92.099998474121094"/>
    <x v="2"/>
    <m/>
    <m/>
    <m/>
    <m/>
    <m/>
    <m/>
    <m/>
    <m/>
    <m/>
    <s v="N"/>
    <m/>
  </r>
  <r>
    <s v="TSG_MLDL_PF"/>
    <n v="313889002"/>
    <n v="1115296129"/>
    <s v="703586-B21 #AKM"/>
    <s v="HP DL580R07 CN CTO Server"/>
    <n v="3"/>
    <s v="4SHT42025352"/>
    <d v="2015-01-08T18:03:23"/>
    <d v="2015-01-14T00:00:00"/>
    <d v="2015-01-12T11:54:16"/>
    <d v="2015-01-09T12:30:00"/>
    <d v="2015-01-09T16:02:43"/>
    <d v="2015-01-10T10:19:23"/>
    <n v="21.799999237060547"/>
    <n v="62.5"/>
    <x v="2"/>
    <m/>
    <m/>
    <m/>
    <m/>
    <m/>
    <m/>
    <m/>
    <m/>
    <m/>
    <s v="N"/>
    <s v="Y"/>
  </r>
  <r>
    <s v="TSG_MLDL_PF"/>
    <n v="313889002"/>
    <n v="1115296120"/>
    <s v="703586-B21 #AKM"/>
    <s v="HP DL580R07 CN CTO Server"/>
    <n v="1"/>
    <s v="4SHT42025352"/>
    <d v="2015-01-08T18:02:23"/>
    <d v="2015-01-14T00:00:00"/>
    <d v="2015-01-12T11:54:16"/>
    <d v="2015-01-09T12:30:00"/>
    <d v="2015-01-09T17:02:44"/>
    <d v="2015-01-10T12:47:20"/>
    <n v="24.299999237060547"/>
    <n v="62.5"/>
    <x v="2"/>
    <m/>
    <m/>
    <m/>
    <m/>
    <m/>
    <m/>
    <m/>
    <m/>
    <m/>
    <s v="N"/>
    <s v="Y"/>
  </r>
  <r>
    <s v="TSG_MLDL_PF"/>
    <n v="313889001"/>
    <n v="1115296119"/>
    <s v="703586-B21 #AKM"/>
    <s v="HP DL580R07 CN CTO Server"/>
    <n v="1"/>
    <s v="4SHT42025351"/>
    <d v="2015-01-08T18:02:25"/>
    <d v="2015-01-14T00:00:00"/>
    <d v="2015-01-12T11:54:16"/>
    <d v="2015-01-09T12:30:00"/>
    <d v="2015-01-09T16:54:08"/>
    <d v="2015-01-10T09:36:50"/>
    <n v="21.100000381469727"/>
    <n v="62.5"/>
    <x v="2"/>
    <m/>
    <m/>
    <m/>
    <m/>
    <m/>
    <m/>
    <m/>
    <m/>
    <m/>
    <s v="N"/>
    <s v="Y"/>
  </r>
  <r>
    <s v="TSG_MLDL_PF"/>
    <n v="313889001"/>
    <n v="1115296124"/>
    <s v="703586-B21 #AKM"/>
    <s v="HP DL580R07 CN CTO Server"/>
    <n v="3"/>
    <s v="4SHT42025351"/>
    <d v="2015-01-08T18:04:23"/>
    <d v="2015-01-14T00:00:00"/>
    <d v="2015-01-12T11:54:16"/>
    <d v="2015-01-09T12:30:00"/>
    <d v="2015-01-09T15:17:25"/>
    <d v="2015-01-10T12:16:11"/>
    <n v="23.799999237060547"/>
    <n v="62.400001525878906"/>
    <x v="2"/>
    <m/>
    <m/>
    <m/>
    <m/>
    <m/>
    <m/>
    <m/>
    <m/>
    <m/>
    <s v="N"/>
    <s v="Y"/>
  </r>
  <r>
    <s v="TSG_MLDL_PF"/>
    <n v="313888916"/>
    <n v="1115296225"/>
    <s v="703586-B21 #AKM"/>
    <s v="HP DL580R07 CN CTO Server"/>
    <n v="3"/>
    <s v="4SHT42025350"/>
    <d v="2015-01-08T18:04:23"/>
    <d v="2015-01-14T00:00:00"/>
    <d v="2015-01-12T11:54:15"/>
    <d v="2015-01-09T12:30:00"/>
    <d v="2015-01-09T16:57:39"/>
    <d v="2015-01-10T10:37:40"/>
    <n v="22.100000381469727"/>
    <n v="62.400001525878906"/>
    <x v="2"/>
    <m/>
    <m/>
    <m/>
    <m/>
    <m/>
    <m/>
    <m/>
    <m/>
    <m/>
    <s v="N"/>
    <s v="Y"/>
  </r>
  <r>
    <s v="TSG_MLDL_PF"/>
    <n v="313888916"/>
    <n v="1115294797"/>
    <s v="703586-B21 #AKM"/>
    <s v="HP DL580R07 CN CTO Server"/>
    <n v="1"/>
    <s v="4SHT42025350"/>
    <d v="2015-01-08T18:02:23"/>
    <d v="2015-01-14T00:00:00"/>
    <d v="2015-01-12T11:54:15"/>
    <d v="2015-01-09T12:30:00"/>
    <d v="2015-01-09T16:52:40"/>
    <d v="2015-01-10T12:23:18"/>
    <n v="23.899999618530273"/>
    <n v="62.5"/>
    <x v="2"/>
    <m/>
    <m/>
    <m/>
    <m/>
    <m/>
    <m/>
    <m/>
    <m/>
    <m/>
    <s v="N"/>
    <s v="Y"/>
  </r>
  <r>
    <s v="TSG_MLDL_PF"/>
    <n v="313888915"/>
    <n v="1115294800"/>
    <s v="703586-B21 #AKM"/>
    <s v="HP DL580R07 CN CTO Server"/>
    <n v="1"/>
    <s v="4SHT42025349"/>
    <d v="2015-01-08T18:02:23"/>
    <d v="2015-01-14T00:00:00"/>
    <d v="2015-01-12T12:26:17"/>
    <d v="2015-01-09T12:30:00"/>
    <d v="2015-01-09T16:42:22"/>
    <d v="2015-01-10T10:01:19"/>
    <n v="21.5"/>
    <n v="62.5"/>
    <x v="2"/>
    <m/>
    <m/>
    <m/>
    <m/>
    <m/>
    <m/>
    <m/>
    <m/>
    <m/>
    <s v="N"/>
    <s v="Y"/>
  </r>
  <r>
    <s v="TSG_MLDL_PF"/>
    <n v="313888915"/>
    <n v="1115296228"/>
    <s v="703586-B21 #AKM"/>
    <s v="HP DL580R07 CN CTO Server"/>
    <n v="5"/>
    <s v="4SHT42025349"/>
    <d v="2015-01-08T18:05:23"/>
    <d v="2015-01-14T00:00:00"/>
    <d v="2015-01-12T12:26:17"/>
    <d v="2015-01-09T12:30:00"/>
    <d v="2015-01-09T15:41:34"/>
    <d v="2015-01-10T12:11:03"/>
    <n v="23.700000762939453"/>
    <n v="62.400001525878906"/>
    <x v="2"/>
    <m/>
    <m/>
    <m/>
    <m/>
    <m/>
    <m/>
    <m/>
    <m/>
    <m/>
    <s v="N"/>
    <s v="Y"/>
  </r>
  <r>
    <s v="TSG_MLDL_PF"/>
    <n v="313888745"/>
    <n v="1115296031"/>
    <s v="703586-B21 #AKM"/>
    <s v="HP DL580R07 CN CTO Server"/>
    <n v="8"/>
    <s v="4SHT42025348"/>
    <d v="2015-01-08T18:05:30"/>
    <d v="2015-01-14T00:00:00"/>
    <d v="2015-01-12T12:26:17"/>
    <d v="2015-01-10T01:10:00"/>
    <d v="2015-01-10T08:45:08"/>
    <d v="2015-01-11T04:14:57"/>
    <n v="27.100000381469727"/>
    <n v="62.400001525878906"/>
    <x v="2"/>
    <m/>
    <m/>
    <m/>
    <m/>
    <m/>
    <m/>
    <m/>
    <m/>
    <m/>
    <s v="N"/>
    <m/>
  </r>
  <r>
    <s v="TSG_MLDL_PF"/>
    <n v="313888656"/>
    <n v="1115295194"/>
    <s v="703586-B21 #AKM"/>
    <s v="HP DL580R07 CN CTO Server"/>
    <n v="4"/>
    <s v="4SHT42025346"/>
    <d v="2015-01-08T18:04:23"/>
    <d v="2015-01-14T00:00:00"/>
    <d v="2015-01-12T12:26:17"/>
    <d v="2015-01-09T12:30:00"/>
    <d v="2015-01-09T16:43:04"/>
    <d v="2015-01-11T01:44:22"/>
    <n v="37.200000762939453"/>
    <n v="62.400001525878906"/>
    <x v="2"/>
    <m/>
    <m/>
    <m/>
    <m/>
    <m/>
    <m/>
    <m/>
    <m/>
    <m/>
    <s v="N"/>
    <m/>
  </r>
  <r>
    <s v="TSG_MLDL_PF"/>
    <n v="313888600"/>
    <n v="1115296116"/>
    <s v="703586-B21 #AKM"/>
    <s v="HP DL580R07 CN CTO Server"/>
    <n v="1"/>
    <s v="4SHT42025345"/>
    <d v="2015-01-08T18:02:25"/>
    <d v="2015-01-14T00:00:00"/>
    <d v="2015-01-12T12:26:17"/>
    <d v="2015-01-09T12:30:00"/>
    <d v="2015-01-09T16:37:38"/>
    <d v="2015-01-10T12:22:58"/>
    <n v="23.899999618530273"/>
    <n v="62.5"/>
    <x v="2"/>
    <m/>
    <m/>
    <m/>
    <m/>
    <m/>
    <m/>
    <m/>
    <m/>
    <m/>
    <s v="N"/>
    <s v="Y"/>
  </r>
  <r>
    <s v="TSG_MLDL_PF"/>
    <n v="313888600"/>
    <n v="1115296122"/>
    <s v="703586-B21 #AKM"/>
    <s v="HP DL580R07 CN CTO Server"/>
    <n v="6"/>
    <s v="4SHT42025345"/>
    <d v="2015-01-08T18:04:24"/>
    <d v="2015-01-14T00:00:00"/>
    <d v="2015-01-12T12:26:17"/>
    <d v="2015-01-09T12:30:00"/>
    <d v="2015-01-09T15:48:06"/>
    <d v="2015-01-10T12:52:01"/>
    <n v="24.399999618530273"/>
    <n v="62.400001525878906"/>
    <x v="2"/>
    <m/>
    <m/>
    <m/>
    <m/>
    <m/>
    <m/>
    <m/>
    <m/>
    <m/>
    <s v="N"/>
    <s v="Y"/>
  </r>
  <r>
    <s v="TSG_MLDL_PF"/>
    <n v="313888388"/>
    <n v="1115296318"/>
    <s v="703586-B21 #AKM"/>
    <s v="HP DL580R07 CN CTO Server"/>
    <n v="1"/>
    <s v="4SHT42025344"/>
    <d v="2015-01-08T18:02:25"/>
    <d v="2015-01-14T00:00:00"/>
    <d v="2015-01-12T11:54:15"/>
    <d v="2015-01-09T12:30:00"/>
    <d v="2015-01-09T16:50:40"/>
    <d v="2015-01-10T09:37:27"/>
    <n v="21.100000381469727"/>
    <n v="62.5"/>
    <x v="2"/>
    <m/>
    <m/>
    <m/>
    <m/>
    <m/>
    <m/>
    <m/>
    <m/>
    <m/>
    <s v="N"/>
    <m/>
  </r>
  <r>
    <s v="TSG_MLDL_PF"/>
    <n v="313888382"/>
    <n v="1115295486"/>
    <s v="703586-B21 #AKM"/>
    <s v="HP DL580R07 CN CTO Server"/>
    <n v="1"/>
    <s v="4SHT42025343"/>
    <d v="2015-01-08T18:02:32"/>
    <d v="2015-01-14T00:00:00"/>
    <d v="2015-01-12T12:26:17"/>
    <d v="2015-01-09T12:30:00"/>
    <d v="2015-01-09T16:49:24"/>
    <d v="2015-01-10T10:53:26"/>
    <n v="22.399999618530273"/>
    <n v="62.5"/>
    <x v="2"/>
    <m/>
    <m/>
    <m/>
    <m/>
    <m/>
    <m/>
    <m/>
    <m/>
    <m/>
    <s v="N"/>
    <s v="Y"/>
  </r>
  <r>
    <s v="TSG_MLDL_PF"/>
    <n v="313888382"/>
    <n v="1115295507"/>
    <s v="703586-B21 #AKM"/>
    <s v="HP DL580R07 CN CTO Server"/>
    <n v="5"/>
    <s v="4SHT42025343"/>
    <d v="2015-01-08T18:04:24"/>
    <d v="2015-01-14T00:00:00"/>
    <d v="2015-01-12T12:26:17"/>
    <d v="2015-01-09T12:30:00"/>
    <d v="2015-01-09T16:18:17"/>
    <d v="2015-01-11T01:32:15"/>
    <n v="37"/>
    <n v="62.400001525878906"/>
    <x v="2"/>
    <m/>
    <m/>
    <m/>
    <m/>
    <m/>
    <m/>
    <m/>
    <m/>
    <m/>
    <s v="N"/>
    <s v="Y"/>
  </r>
  <r>
    <s v="TSG_MLDL_PF"/>
    <n v="313888380"/>
    <n v="1115295477"/>
    <s v="703586-B21 #AKM"/>
    <s v="HP DL580R07 CN CTO Server"/>
    <n v="1"/>
    <s v="4SHT42025341"/>
    <d v="2015-01-08T17:53:23"/>
    <d v="2015-01-13T00:00:00"/>
    <d v="2015-01-12T15:37:19"/>
    <d v="2015-01-09T12:30:00"/>
    <d v="2015-01-09T16:59:34"/>
    <d v="2015-01-10T10:54:05"/>
    <n v="22.399999618530273"/>
    <n v="62.599998474121094"/>
    <x v="2"/>
    <m/>
    <m/>
    <m/>
    <m/>
    <m/>
    <m/>
    <m/>
    <m/>
    <m/>
    <s v="N"/>
    <s v="Y"/>
  </r>
  <r>
    <s v="TSG_MLDL_PF"/>
    <n v="313888380"/>
    <n v="1115295497"/>
    <s v="703586-B21 #AKM"/>
    <s v="HP DL580R07 CN CTO Server"/>
    <n v="5"/>
    <s v="4SHT42025341"/>
    <d v="2015-01-08T17:55:29"/>
    <d v="2015-01-13T00:00:00"/>
    <d v="2015-01-12T15:37:19"/>
    <d v="2015-01-09T12:30:00"/>
    <d v="2015-01-09T09:56:58"/>
    <d v="2015-01-10T15:38:52"/>
    <n v="27.100000381469727"/>
    <n v="62.599998474121094"/>
    <x v="2"/>
    <m/>
    <m/>
    <m/>
    <m/>
    <m/>
    <m/>
    <m/>
    <m/>
    <m/>
    <s v="N"/>
    <s v="Y"/>
  </r>
  <r>
    <s v="TSG_MLDL_PF"/>
    <n v="313887992"/>
    <n v="1115294804"/>
    <s v="703586-B21 #AKM"/>
    <s v="HP DL580R07 CN CTO Server"/>
    <n v="10"/>
    <s v="4SHT42024677"/>
    <d v="2015-01-08T16:23:22"/>
    <d v="2015-01-13T00:00:00"/>
    <d v="2015-01-12T15:37:19"/>
    <d v="2015-01-09T09:20:00"/>
    <d v="2015-01-09T12:49:50"/>
    <d v="2015-01-11T04:08:31"/>
    <n v="42.799999237060547"/>
    <n v="64.099998474121094"/>
    <x v="1"/>
    <m/>
    <m/>
    <m/>
    <m/>
    <m/>
    <m/>
    <m/>
    <m/>
    <m/>
    <s v="N"/>
    <m/>
  </r>
  <r>
    <s v="TSG_BLD_PF"/>
    <n v="313885043"/>
    <n v="1115291232"/>
    <s v="735151-B21"/>
    <s v="HP BL460c Gen8 E5-v2 10/20Gb CTO Blade"/>
    <n v="7"/>
    <s v="4SHT42023962"/>
    <d v="2015-01-08T13:18:09"/>
    <d v="2015-01-13T00:00:00"/>
    <d v="2015-01-13T19:06:39"/>
    <d v="2015-01-09T15:38:00"/>
    <d v="2015-01-09T15:52:03"/>
    <d v="2015-01-10T14:40:48"/>
    <n v="23"/>
    <n v="77.800003051757812"/>
    <x v="2"/>
    <m/>
    <m/>
    <m/>
    <m/>
    <m/>
    <m/>
    <m/>
    <m/>
    <m/>
    <s v="N"/>
    <m/>
  </r>
  <r>
    <s v="TSG_BLD_PF"/>
    <n v="313885043"/>
    <n v="1115291235"/>
    <s v="735151-B21"/>
    <s v="HP BL460c Gen8 E5-v2 10/20Gb CTO Blade"/>
    <n v="4"/>
    <s v="4SHT42023961"/>
    <d v="2015-01-08T13:18:15"/>
    <d v="2015-01-13T00:00:00"/>
    <d v="2015-01-13T18:50:39"/>
    <d v="2015-01-09T15:38:00"/>
    <d v="2015-01-09T16:05:18"/>
    <d v="2015-01-10T15:15:29"/>
    <n v="23.600000381469727"/>
    <n v="77.5"/>
    <x v="2"/>
    <m/>
    <m/>
    <m/>
    <m/>
    <m/>
    <m/>
    <m/>
    <m/>
    <m/>
    <s v="N"/>
    <m/>
  </r>
  <r>
    <s v="TSG_BLD_PF"/>
    <n v="313885043"/>
    <n v="1115291237"/>
    <s v="735151-B21"/>
    <s v="HP BL460c Gen8 E5-v2 10/20Gb CTO Blade"/>
    <n v="4"/>
    <s v="4SHT42023960"/>
    <d v="2015-01-08T13:18:08"/>
    <d v="2015-01-13T00:00:00"/>
    <d v="2015-01-13T18:50:40"/>
    <d v="2015-01-09T15:38:00"/>
    <d v="2015-01-09T16:07:52"/>
    <d v="2015-01-10T14:40:05"/>
    <n v="23"/>
    <n v="77.5"/>
    <x v="2"/>
    <m/>
    <m/>
    <m/>
    <m/>
    <m/>
    <m/>
    <m/>
    <m/>
    <m/>
    <s v="N"/>
    <m/>
  </r>
  <r>
    <s v="TSG_MLDL_PF"/>
    <n v="313863785"/>
    <n v="1115272287"/>
    <s v="L6B06A"/>
    <s v="HP DL380p E5-2630v2 Qih-F5 Spcl Svr"/>
    <n v="16"/>
    <s v="4SHT42023953"/>
    <d v="2015-01-08T13:20:16"/>
    <d v="2015-01-14T00:00:00"/>
    <d v="2015-01-13T16:11:44"/>
    <d v="2015-01-08T20:45:00"/>
    <d v="2015-01-08T22:20:21"/>
    <d v="2015-01-09T22:31:14"/>
    <n v="25.799999237060547"/>
    <n v="74.900001525878906"/>
    <x v="2"/>
    <m/>
    <m/>
    <m/>
    <m/>
    <m/>
    <m/>
    <m/>
    <m/>
    <m/>
    <s v="N"/>
    <m/>
  </r>
  <r>
    <s v="TSG_MLDL_PF"/>
    <n v="313863784"/>
    <n v="1115272280"/>
    <s v="L6B06A"/>
    <s v="HP DL380p E5-2630v2 Qih-F5 Spcl Svr"/>
    <n v="17"/>
    <s v="4SHT42023952"/>
    <d v="2015-01-08T13:20:07"/>
    <d v="2015-01-14T00:00:00"/>
    <d v="2015-01-13T16:11:43"/>
    <d v="2015-01-08T20:45:00"/>
    <d v="2015-01-08T21:59:58"/>
    <d v="2015-01-10T01:04:10"/>
    <n v="28.299999237060547"/>
    <n v="74.900001525878906"/>
    <x v="2"/>
    <m/>
    <m/>
    <m/>
    <m/>
    <m/>
    <m/>
    <m/>
    <m/>
    <m/>
    <s v="N"/>
    <m/>
  </r>
  <r>
    <s v="TSG_MLDL_PF"/>
    <n v="313863783"/>
    <n v="1115272279"/>
    <s v="L6B06A"/>
    <s v="HP DL380p E5-2630v2 Qih-F5 Spcl Svr"/>
    <n v="40"/>
    <s v="4SHT42023951"/>
    <d v="2015-01-08T13:23:07"/>
    <d v="2015-01-14T00:00:00"/>
    <d v="2015-01-13T16:11:43"/>
    <d v="2015-01-08T20:45:00"/>
    <d v="2015-01-09T00:30:46"/>
    <d v="2015-01-10T01:38:47"/>
    <n v="28.899999618530273"/>
    <n v="74.800003051757813"/>
    <x v="2"/>
    <m/>
    <m/>
    <m/>
    <m/>
    <m/>
    <m/>
    <m/>
    <m/>
    <m/>
    <s v="N"/>
    <m/>
  </r>
  <r>
    <s v="TSG_MLDL_PF"/>
    <n v="313863782"/>
    <n v="1115272278"/>
    <s v="L6B06A"/>
    <s v="HP DL380p E5-2630v2 Qih-F5 Spcl Svr"/>
    <n v="30"/>
    <s v="4SHT42023950"/>
    <d v="2015-01-08T13:22:07"/>
    <d v="2015-01-14T00:00:00"/>
    <d v="2015-01-13T16:11:44"/>
    <d v="2015-01-08T20:45:00"/>
    <d v="2015-01-08T22:48:59"/>
    <d v="2015-01-10T01:02:15"/>
    <n v="28.299999237060547"/>
    <n v="74.800003051757813"/>
    <x v="2"/>
    <m/>
    <m/>
    <m/>
    <m/>
    <m/>
    <m/>
    <m/>
    <m/>
    <m/>
    <s v="N"/>
    <m/>
  </r>
  <r>
    <s v="TSG_MLDL_PF"/>
    <n v="313892443"/>
    <n v="1115300454"/>
    <s v="665553-B21 #AKM"/>
    <s v="HP DL380p Gen8 8-LFF CTO Server"/>
    <n v="4"/>
    <s v="4SHT42019328"/>
    <d v="2015-01-07T15:39:44"/>
    <d v="2015-01-12T00:00:00"/>
    <d v="2015-01-12T18:00:20"/>
    <d v="2015-01-07T22:06:00"/>
    <d v="2015-01-08T10:27:07"/>
    <d v="2015-01-08T22:28:42"/>
    <n v="24.399999618530273"/>
    <n v="88.800003051757813"/>
    <x v="2"/>
    <m/>
    <m/>
    <m/>
    <m/>
    <m/>
    <m/>
    <m/>
    <m/>
    <m/>
    <s v="N"/>
    <s v="Y"/>
  </r>
  <r>
    <s v="TSG_MLDL_PF"/>
    <n v="313892443"/>
    <n v="1115300452"/>
    <s v="665553-B21 #AKM"/>
    <s v="HP DL380p Gen8 8-LFF CTO Server"/>
    <n v="4"/>
    <s v="4SHT42019328"/>
    <d v="2015-01-07T15:39:55"/>
    <d v="2015-01-12T00:00:00"/>
    <d v="2015-01-12T18:00:20"/>
    <d v="2015-01-07T22:06:00"/>
    <d v="2015-01-08T10:41:23"/>
    <d v="2015-01-09T01:05:52"/>
    <n v="27"/>
    <n v="88.800003051757813"/>
    <x v="2"/>
    <m/>
    <m/>
    <m/>
    <m/>
    <m/>
    <m/>
    <m/>
    <m/>
    <m/>
    <s v="N"/>
    <s v="Y"/>
  </r>
  <r>
    <s v="TSG_MLDL_PF"/>
    <n v="313883865"/>
    <n v="1115291824"/>
    <s v="704963-B21 #AKM"/>
    <s v="HP DL585 G7 BC NIC CTO Server"/>
    <n v="8"/>
    <s v="4SHT42018672"/>
    <d v="2015-01-07T14:00:42"/>
    <d v="2015-01-12T00:00:00"/>
    <d v="2015-01-14T20:25:04"/>
    <d v="2015-01-07T22:06:00"/>
    <d v="2015-01-08T10:01:38"/>
    <d v="2015-01-09T14:24:09"/>
    <n v="40.299999237060547"/>
    <n v="126.40000152587891"/>
    <x v="2"/>
    <m/>
    <m/>
    <m/>
    <m/>
    <m/>
    <m/>
    <m/>
    <m/>
    <m/>
    <s v="N"/>
    <m/>
  </r>
  <r>
    <s v="TSG_ENCL_PF"/>
    <n v="313896917"/>
    <n v="1115305067"/>
    <s v="696908-B21"/>
    <s v="HP BLc3000 4 AC 6 Fan Full IC Plat Encl"/>
    <n v="1"/>
    <s v="4SHT42018419"/>
    <d v="2015-01-07T12:46:45"/>
    <d v="2015-01-12T00:00:00"/>
    <d v="2015-01-13T17:15:37"/>
    <d v="2015-01-08T09:00:00"/>
    <d v="2015-01-08T12:56:51"/>
    <d v="2015-01-09T10:28:28"/>
    <n v="25.5"/>
    <n v="100.5"/>
    <x v="2"/>
    <m/>
    <m/>
    <m/>
    <m/>
    <m/>
    <m/>
    <m/>
    <m/>
    <m/>
    <s v="N"/>
    <m/>
  </r>
  <r>
    <s v="TSG_MLDL_PF"/>
    <n v="313892441"/>
    <n v="1115300453"/>
    <s v="654081-B21 #AKM"/>
    <s v="HP DL360p Gen8 8-SFF CTO Server"/>
    <n v="2"/>
    <s v="4SHT42016589"/>
    <d v="2015-01-07T02:20:29"/>
    <d v="2015-01-13T00:00:00"/>
    <d v="2015-01-12T18:00:20"/>
    <d v="2015-01-07T22:06:00"/>
    <d v="2015-01-08T01:49:17"/>
    <d v="2015-01-08T15:14:57"/>
    <n v="17.100000381469727"/>
    <n v="102.19999694824219"/>
    <x v="2"/>
    <m/>
    <m/>
    <m/>
    <m/>
    <m/>
    <m/>
    <m/>
    <m/>
    <m/>
    <s v="N"/>
    <m/>
  </r>
  <r>
    <s v="TSG_MLDL_PF"/>
    <n v="313892462"/>
    <n v="1115300484"/>
    <s v="767032-B21 #AKM"/>
    <s v="HP DL380 Gen9 24SFF CTO Server"/>
    <n v="2"/>
    <s v="4SHT42014790"/>
    <d v="2015-01-06T19:55:29"/>
    <d v="2015-01-09T00:00:00"/>
    <d v="2015-01-13T19:06:39"/>
    <d v="2015-01-07T09:17:00"/>
    <d v="2015-01-07T14:50:02"/>
    <d v="2015-01-08T15:17:50"/>
    <n v="30"/>
    <n v="119.19999694824219"/>
    <x v="2"/>
    <m/>
    <m/>
    <m/>
    <m/>
    <m/>
    <m/>
    <m/>
    <m/>
    <m/>
    <s v="N"/>
    <s v="Y"/>
  </r>
  <r>
    <s v="TSG_MLDL_PF"/>
    <n v="313892462"/>
    <n v="1115300485"/>
    <s v="767032-B21 #AKM"/>
    <s v="HP DL380 Gen9 24SFF CTO Server"/>
    <n v="2"/>
    <s v="4SHT42014790"/>
    <d v="2015-01-06T19:55:29"/>
    <d v="2015-01-09T00:00:00"/>
    <d v="2015-01-13T19:06:39"/>
    <d v="2015-01-07T09:17:00"/>
    <d v="2015-01-07T15:09:41"/>
    <d v="2015-01-08T15:21:20"/>
    <n v="30.100000381469727"/>
    <n v="119.19999694824219"/>
    <x v="2"/>
    <m/>
    <m/>
    <m/>
    <m/>
    <m/>
    <m/>
    <m/>
    <m/>
    <m/>
    <s v="N"/>
    <s v="Y"/>
  </r>
  <r>
    <s v="TSG_MLDL_PF"/>
    <n v="313887157"/>
    <n v="1115293732"/>
    <s v="755258-B21 #AKM"/>
    <s v="HP DL360 Gen9 8SFF CTO Server"/>
    <n v="10"/>
    <s v="4SHT42014051"/>
    <d v="2015-01-06T17:35:27"/>
    <d v="2015-01-12T00:00:00"/>
    <d v="2015-01-12T19:03:20"/>
    <d v="2015-01-07T09:17:00"/>
    <d v="2015-01-07T11:31:50"/>
    <d v="2015-01-09T10:25:06"/>
    <n v="49.099998474121094"/>
    <n v="110.90000152587891"/>
    <x v="1"/>
    <m/>
    <m/>
    <m/>
    <m/>
    <m/>
    <m/>
    <m/>
    <m/>
    <m/>
    <s v="N"/>
    <m/>
  </r>
  <r>
    <s v="TSG_BLD_PF"/>
    <n v="313885043"/>
    <n v="1115291238"/>
    <s v="679118-B21"/>
    <s v="HP BL660c Gen8 10/20Gb FLB CTO Blade"/>
    <n v="1"/>
    <s v="4SHT42012945"/>
    <d v="2015-01-06T13:35:14"/>
    <d v="2015-01-09T00:00:00"/>
    <d v="2015-01-13T18:50:40"/>
    <d v="2015-01-06T21:30:00"/>
    <d v="2015-01-07T08:46:44"/>
    <d v="2015-01-08T01:16:36"/>
    <n v="27.799999237060547"/>
    <n v="125.30000305175781"/>
    <x v="2"/>
    <m/>
    <m/>
    <m/>
    <m/>
    <m/>
    <m/>
    <m/>
    <m/>
    <m/>
    <s v="N"/>
    <m/>
  </r>
  <r>
    <s v="TSG_MLDL_PF"/>
    <n v="313883576"/>
    <n v="1115288759"/>
    <s v="661189-B21 #AKM"/>
    <s v="HP DL360e Gen8 8SFF CTO Server"/>
    <n v="1"/>
    <s v="4SHT42012939"/>
    <d v="2015-01-06T13:43:13"/>
    <d v="2015-01-12T00:00:00"/>
    <d v="2015-01-13T13:31:35"/>
    <d v="2015-01-06T21:30:00"/>
    <d v="2015-01-07T00:14:30"/>
    <d v="2015-01-07T12:55:22"/>
    <n v="15.399999618530273"/>
    <n v="119.80000305175781"/>
    <x v="2"/>
    <m/>
    <m/>
    <m/>
    <m/>
    <m/>
    <m/>
    <m/>
    <m/>
    <m/>
    <s v="N"/>
    <s v="Y"/>
  </r>
  <r>
    <s v="TSG_MLDL_PF"/>
    <n v="313883576"/>
    <n v="1115288757"/>
    <s v="661189-B21 #AKM"/>
    <s v="HP DL360e Gen8 8SFF CTO Server"/>
    <n v="1"/>
    <s v="4SHT42012939"/>
    <d v="2015-01-06T13:43:20"/>
    <d v="2015-01-12T00:00:00"/>
    <d v="2015-01-13T13:31:35"/>
    <d v="2015-01-06T21:30:00"/>
    <d v="2015-01-07T01:39:43"/>
    <d v="2015-01-07T12:56:05"/>
    <n v="15.399999618530273"/>
    <n v="119.80000305175781"/>
    <x v="2"/>
    <m/>
    <m/>
    <m/>
    <m/>
    <m/>
    <m/>
    <m/>
    <m/>
    <m/>
    <s v="N"/>
    <s v="Y"/>
  </r>
  <r>
    <s v="TSG_MLDL_PF"/>
    <n v="313883576"/>
    <n v="1115288761"/>
    <s v="669255-B21 #AKM"/>
    <s v="HP DL380e Gen8 8LFF CTO Server"/>
    <n v="1"/>
    <s v="4SHT42012939"/>
    <d v="2015-01-06T13:43:13"/>
    <d v="2015-01-12T00:00:00"/>
    <d v="2015-01-13T13:31:35"/>
    <d v="2015-01-06T21:30:00"/>
    <d v="2015-01-07T01:41:41"/>
    <d v="2015-01-07T14:05:11"/>
    <n v="16.600000381469727"/>
    <n v="119.80000305175781"/>
    <x v="2"/>
    <m/>
    <m/>
    <m/>
    <m/>
    <m/>
    <m/>
    <m/>
    <m/>
    <m/>
    <s v="N"/>
    <s v="Y"/>
  </r>
  <r>
    <s v="TSG_MLDL_PF"/>
    <n v="313883576"/>
    <n v="1115288758"/>
    <s v="666282-B21 #AKM"/>
    <s v="HP DL160 Gen8 LFF CTO Server"/>
    <n v="4"/>
    <s v="4SHT42012939"/>
    <d v="2015-01-06T13:43:21"/>
    <d v="2015-01-12T00:00:00"/>
    <d v="2015-01-13T13:31:35"/>
    <d v="2015-01-06T21:30:00"/>
    <d v="2015-01-07T00:02:13"/>
    <d v="2015-01-07T16:18:02"/>
    <n v="18.799999237060547"/>
    <n v="119.80000305175781"/>
    <x v="2"/>
    <m/>
    <m/>
    <m/>
    <m/>
    <m/>
    <m/>
    <m/>
    <m/>
    <m/>
    <s v="N"/>
    <s v="Y"/>
  </r>
  <r>
    <s v="TSG_MLDL_PF"/>
    <n v="313882852"/>
    <n v="1115287826"/>
    <s v="755258-B21 #AKM"/>
    <s v="HP DL360 Gen9 8SFF CTO Server"/>
    <n v="1"/>
    <s v="4SHT42008843"/>
    <d v="2015-01-05T16:58:53"/>
    <d v="2015-01-08T00:00:00"/>
    <d v="2015-01-15T13:15:31"/>
    <d v="2015-01-06T10:11:00"/>
    <d v="2015-01-06T13:26:06"/>
    <d v="2015-01-07T01:55:42"/>
    <n v="15.699999809265137"/>
    <n v="172.80000305175781"/>
    <x v="2"/>
    <m/>
    <m/>
    <m/>
    <m/>
    <m/>
    <m/>
    <m/>
    <m/>
    <m/>
    <s v="N"/>
    <s v="Y"/>
  </r>
  <r>
    <s v="TSG_MLDL_PF"/>
    <n v="313882852"/>
    <n v="1115287825"/>
    <s v="754521-B21 #AKM"/>
    <s v="HP DL160 Gen9 4LFF CTO Server"/>
    <n v="1"/>
    <s v="4SHT42008843"/>
    <d v="2015-01-05T16:58:53"/>
    <d v="2015-01-08T00:00:00"/>
    <d v="2015-01-15T13:15:31"/>
    <d v="2015-01-06T10:11:00"/>
    <d v="2015-01-06T13:25:17"/>
    <d v="2015-01-07T22:07:24"/>
    <n v="35.900001525878906"/>
    <n v="172.80000305175781"/>
    <x v="2"/>
    <m/>
    <m/>
    <m/>
    <m/>
    <m/>
    <m/>
    <m/>
    <m/>
    <m/>
    <s v="N"/>
    <s v="Y"/>
  </r>
  <r>
    <s v="TSG_MLDL_PF"/>
    <n v="313885043"/>
    <n v="1115291233"/>
    <s v="669253-B21 #AKM"/>
    <s v="HP DL380e Gen8 8SFF CTO Server"/>
    <n v="3"/>
    <s v="4SHT42008261"/>
    <d v="2015-01-05T14:30:01"/>
    <d v="2015-01-08T00:00:00"/>
    <d v="2015-01-13T18:50:39"/>
    <d v="2015-01-06T10:11:00"/>
    <d v="2015-01-06T13:01:57"/>
    <d v="2015-01-07T09:45:59"/>
    <n v="23.600000381469727"/>
    <n v="130.30000305175781"/>
    <x v="2"/>
    <m/>
    <m/>
    <m/>
    <m/>
    <m/>
    <m/>
    <m/>
    <m/>
    <m/>
    <s v="N"/>
    <m/>
  </r>
  <r>
    <s v="TSG_MLDL_PF"/>
    <n v="313885043"/>
    <n v="1115291234"/>
    <s v="653200-B21 #AKM"/>
    <s v="HP DL380p Gen8 8-SFF CTO Server"/>
    <n v="1"/>
    <s v="4SHT42008260"/>
    <d v="2015-01-05T14:28:52"/>
    <d v="2015-01-08T00:00:00"/>
    <d v="2015-01-13T18:50:39"/>
    <d v="2015-01-06T10:11:00"/>
    <d v="2015-01-06T13:38:33"/>
    <d v="2015-01-07T01:50:59"/>
    <n v="15.699999809265137"/>
    <n v="130.30000305175781"/>
    <x v="2"/>
    <m/>
    <m/>
    <m/>
    <m/>
    <m/>
    <m/>
    <m/>
    <m/>
    <m/>
    <s v="N"/>
    <m/>
  </r>
  <r>
    <s v="TSG_MLDL_PF"/>
    <n v="313885043"/>
    <n v="1115291236"/>
    <s v="661189-B21 #AKM"/>
    <s v="HP DL360e Gen8 8SFF CTO Server"/>
    <n v="1"/>
    <s v="4SHT42008259"/>
    <d v="2015-01-05T14:30:01"/>
    <d v="2015-01-09T00:00:00"/>
    <d v="2015-01-13T18:50:39"/>
    <d v="2015-01-06T10:11:00"/>
    <d v="2015-01-06T13:33:58"/>
    <d v="2015-01-07T00:53:50"/>
    <n v="14.699999809265137"/>
    <n v="130.30000305175781"/>
    <x v="2"/>
    <m/>
    <m/>
    <m/>
    <m/>
    <m/>
    <m/>
    <m/>
    <m/>
    <m/>
    <s v="N"/>
    <m/>
  </r>
  <r>
    <s v="TSG_MLDL_PF"/>
    <n v="313886460"/>
    <n v="1115293818"/>
    <s v="719064-B21 #AKM"/>
    <s v="HP DL380 Gen9 8SFF CTO Server"/>
    <n v="4"/>
    <s v="4SHT42007757"/>
    <d v="2015-01-05T12:54:53"/>
    <d v="2015-01-08T00:00:00"/>
    <d v="2015-01-13T18:18:39"/>
    <d v="2015-01-06T07:00:00"/>
    <d v="2015-01-06T12:19:10"/>
    <d v="2015-01-07T16:28:26"/>
    <n v="32"/>
    <n v="129.80000305175781"/>
    <x v="2"/>
    <m/>
    <m/>
    <m/>
    <m/>
    <m/>
    <m/>
    <m/>
    <m/>
    <m/>
    <s v="N"/>
    <m/>
  </r>
  <r>
    <s v="TSG_MLDL_PF"/>
    <n v="313885852"/>
    <n v="1115291394"/>
    <s v="728551-B21 #AKM"/>
    <s v="HP DL580 Gen8 CTO Svr"/>
    <n v="3"/>
    <s v="4SHT42002885"/>
    <d v="2015-01-04T01:57:31"/>
    <d v="2015-01-08T00:00:00"/>
    <d v="2015-01-16T22:32:39"/>
    <d v="2015-01-05T22:50:00"/>
    <d v="2015-01-06T01:47:45"/>
    <d v="2015-01-06T17:52:16"/>
    <n v="9.3999996185302734"/>
    <n v="212.60000610351562"/>
    <x v="2"/>
    <m/>
    <m/>
    <m/>
    <m/>
    <m/>
    <m/>
    <m/>
    <m/>
    <m/>
    <s v="N"/>
    <s v="Y"/>
  </r>
  <r>
    <s v="TSG_MLDL_PF"/>
    <n v="313885852"/>
    <n v="1115291395"/>
    <s v="728551-B21 #AKM"/>
    <s v="HP DL580 Gen8 CTO Svr"/>
    <n v="6"/>
    <s v="4SHT42002885"/>
    <d v="2015-01-04T01:58:29"/>
    <d v="2015-01-08T00:00:00"/>
    <d v="2015-01-16T22:32:39"/>
    <d v="2015-01-05T10:52:00"/>
    <d v="2015-01-05T20:54:42"/>
    <d v="2015-01-07T00:38:45"/>
    <n v="16.100000381469727"/>
    <n v="212.60000610351562"/>
    <x v="2"/>
    <m/>
    <m/>
    <m/>
    <m/>
    <m/>
    <m/>
    <m/>
    <m/>
    <m/>
    <s v="N"/>
    <s v="Y"/>
  </r>
  <r>
    <s v="TSG_ENCL_PF"/>
    <n v="313885043"/>
    <n v="1115291239"/>
    <s v="681840-B21"/>
    <s v="HP BLc7000 1PH 2PS 4Fan Trl IC Plat Encl"/>
    <n v="4"/>
    <s v="4SHT42002875"/>
    <d v="2015-01-04T01:56:23"/>
    <d v="2015-01-08T00:00:00"/>
    <d v="2015-01-13T18:50:41"/>
    <d v="2015-01-05T18:01:00"/>
    <d v="2015-01-06T09:26:33"/>
    <d v="2015-01-07T04:38:50"/>
    <n v="20.100000381469727"/>
    <n v="16.899999618530273"/>
    <x v="0"/>
    <m/>
    <m/>
    <m/>
    <m/>
    <m/>
    <m/>
    <m/>
    <m/>
    <m/>
    <s v="N"/>
    <m/>
  </r>
  <r>
    <s v="TSG_MLDL_PF"/>
    <n v="313874451"/>
    <n v="1115277460"/>
    <s v="653200-B21 #AKM"/>
    <s v="HP DL380p Gen8 8-SFF CTO Server"/>
    <n v="8"/>
    <s v="4SHT41981780"/>
    <d v="2014-12-30T20:14:12"/>
    <d v="2015-01-07T00:00:00"/>
    <d v="2015-01-14T16:59:02"/>
    <d v="2014-12-31T15:35:00"/>
    <d v="2014-12-31T18:51:26"/>
    <d v="2015-01-06T17:13:32"/>
    <n v="97.599998474121094"/>
    <n v="260.79998779296875"/>
    <x v="1"/>
    <m/>
    <m/>
    <m/>
    <m/>
    <m/>
    <m/>
    <m/>
    <m/>
    <m/>
    <s v="N"/>
    <m/>
  </r>
  <r>
    <s v="TSG_MLDL_PF"/>
    <n v="313874451"/>
    <n v="1115277459"/>
    <s v="728551-B21 #AKM"/>
    <s v="HP DL580 Gen8 CTO Svr"/>
    <n v="12"/>
    <s v="4SHT41981779"/>
    <d v="2014-12-30T20:18:12"/>
    <d v="2015-01-07T00:00:00"/>
    <d v="2015-01-14T16:59:02"/>
    <d v="2014-12-31T20:47:00"/>
    <d v="2014-12-31T23:40:59"/>
    <d v="2015-01-06T13:45:29"/>
    <n v="89"/>
    <n v="260.70001220703125"/>
    <x v="1"/>
    <m/>
    <m/>
    <m/>
    <m/>
    <m/>
    <m/>
    <m/>
    <m/>
    <m/>
    <s v="N"/>
    <m/>
  </r>
  <r>
    <s v="TSG_MLDL_PF"/>
    <n v="313873036"/>
    <n v="1115274123"/>
    <s v="728551-B21 #AKM"/>
    <s v="HP DL580 Gen8 CTO Svr"/>
    <n v="2"/>
    <s v="4SHT41977181"/>
    <d v="2014-12-30T02:01:56"/>
    <d v="2015-01-07T00:00:00"/>
    <d v="2015-01-16T14:19:39"/>
    <d v="2014-12-31T20:47:00"/>
    <d v="2015-01-01T00:14:58"/>
    <d v="2015-01-06T07:00:25"/>
    <n v="83.699996948242187"/>
    <n v="317.79998779296875"/>
    <x v="1"/>
    <m/>
    <m/>
    <m/>
    <m/>
    <m/>
    <m/>
    <m/>
    <m/>
    <m/>
    <s v="N"/>
    <m/>
  </r>
  <r>
    <s v="TSG_MLDL_PF"/>
    <n v="313880316"/>
    <n v="1115284482"/>
    <s v="719064-B21 #AKM"/>
    <s v="HP DL380 Gen9 8SFF CTO Server"/>
    <n v="1"/>
    <s v="4SHT41974822"/>
    <d v="2014-12-29T18:31:50"/>
    <d v="2015-01-05T00:00:00"/>
    <d v="2015-01-16T14:19:39"/>
    <d v="2014-12-30T14:30:00"/>
    <d v="2014-12-30T21:15:09"/>
    <d v="2014-12-31T15:09:14"/>
    <n v="24.600000381469727"/>
    <n v="317.79998779296875"/>
    <x v="2"/>
    <m/>
    <m/>
    <m/>
    <m/>
    <m/>
    <m/>
    <m/>
    <m/>
    <m/>
    <s v="N"/>
    <s v="Y"/>
  </r>
  <r>
    <s v="TSG_MLDL_PF"/>
    <n v="313880316"/>
    <n v="1115284481"/>
    <s v="719064-B21 #AKM"/>
    <s v="HP DL380 Gen9 8SFF CTO Server"/>
    <n v="4"/>
    <s v="4SHT41974822"/>
    <d v="2014-12-29T18:31:52"/>
    <d v="2015-01-05T00:00:00"/>
    <d v="2015-01-16T14:19:39"/>
    <d v="2014-12-30T14:30:00"/>
    <d v="2014-12-30T21:04:47"/>
    <d v="2014-12-31T17:03:56"/>
    <n v="26.600000381469727"/>
    <n v="317.79998779296875"/>
    <x v="2"/>
    <m/>
    <m/>
    <m/>
    <m/>
    <m/>
    <m/>
    <m/>
    <m/>
    <m/>
    <s v="N"/>
    <s v="Y"/>
  </r>
  <r>
    <s v="TSG_MLDL_PF"/>
    <n v="313863793"/>
    <n v="1115272292"/>
    <s v="L6B07A"/>
    <s v="HP DL360p HY Qih-F4 E5-2630v2 Spcl Svr"/>
    <n v="2"/>
    <s v="4SHT41949417"/>
    <d v="2014-12-25T19:07:56"/>
    <d v="2014-12-30T00:00:00"/>
    <d v="2015-01-13T22:32:47"/>
    <d v="2014-12-26T02:39:00"/>
    <d v="2014-12-26T03:59:05"/>
    <d v="2014-12-27T02:08:25"/>
    <n v="23.5"/>
    <n v="315.39999389648437"/>
    <x v="2"/>
    <m/>
    <m/>
    <m/>
    <m/>
    <m/>
    <m/>
    <m/>
    <m/>
    <m/>
    <s v="N"/>
    <m/>
  </r>
  <r>
    <s v="TSG_MLDL_PF"/>
    <n v="313863781"/>
    <n v="1115272277"/>
    <s v="L6B06A"/>
    <s v="HP DL380p E5-2630v2 Qih-F5 Spcl Svr"/>
    <n v="2"/>
    <s v="4SHT41949416"/>
    <d v="2014-12-25T19:07:56"/>
    <d v="2014-12-30T00:00:00"/>
    <d v="2015-01-13T22:32:46"/>
    <d v="2014-12-26T02:39:00"/>
    <d v="2014-12-26T05:47:12"/>
    <d v="2014-12-27T13:16:22"/>
    <n v="34.599998474121094"/>
    <n v="315.39999389648437"/>
    <x v="2"/>
    <m/>
    <m/>
    <m/>
    <m/>
    <m/>
    <m/>
    <m/>
    <m/>
    <m/>
    <s v="N"/>
    <m/>
  </r>
  <r>
    <s v="TSG_BLD_PF"/>
    <n v="313625164"/>
    <n v="1114935979"/>
    <s v="679118-B21"/>
    <s v="HP BL660c Gen8 10/20Gb FLB CTO Blade"/>
    <n v="4"/>
    <s v="4SHT41494042"/>
    <d v="2014-10-21T15:07:29"/>
    <d v="2014-10-24T00:00:00"/>
    <d v="2015-01-16T14:19:39"/>
    <d v="2014-10-22T10:40:00"/>
    <d v="2014-10-22T14:46:35"/>
    <d v="2014-10-23T13:13:59"/>
    <n v="26.600000381469727"/>
    <n v="1511.199951171875"/>
    <x v="2"/>
    <m/>
    <m/>
    <m/>
    <m/>
    <m/>
    <m/>
    <m/>
    <m/>
    <m/>
    <s v="N"/>
    <s v="Y"/>
  </r>
  <r>
    <s v="TSG_ENCL_PF"/>
    <n v="313625164"/>
    <n v="1114935978"/>
    <s v="681844-B21"/>
    <s v="HP BLc7000 CTO 3 IN LCD Plat Enclosure"/>
    <n v="2"/>
    <s v="4SHT41494042"/>
    <d v="2014-10-21T15:07:28"/>
    <d v="2014-10-24T00:00:00"/>
    <d v="2015-01-16T14:19:39"/>
    <d v="2014-10-22T18:35:00"/>
    <d v="2014-10-23T14:18:37"/>
    <d v="2014-10-23T21:42:11"/>
    <n v="27.100000381469727"/>
    <n v="1511.199951171875"/>
    <x v="2"/>
    <m/>
    <m/>
    <m/>
    <m/>
    <m/>
    <m/>
    <m/>
    <m/>
    <m/>
    <s v="N"/>
    <s v="Y"/>
  </r>
  <r>
    <s v="TSG_BLD_PF"/>
    <n v="313625164"/>
    <n v="1114935980"/>
    <s v="735151-B21"/>
    <s v="HP BL460c Gen8 E5-v2 10/20Gb CTO Blade"/>
    <n v="2"/>
    <s v="4SHT41494042"/>
    <d v="2014-10-21T15:06:56"/>
    <d v="2014-10-24T00:00:00"/>
    <d v="2015-01-16T14:19:39"/>
    <d v="2014-10-22T18:35:00"/>
    <d v="2014-10-23T16:05:16"/>
    <d v="2014-10-24T13:22:09"/>
    <n v="42.799999237060547"/>
    <n v="1511.199951171875"/>
    <x v="1"/>
    <m/>
    <m/>
    <m/>
    <m/>
    <m/>
    <m/>
    <m/>
    <m/>
    <m/>
    <s v="N"/>
    <s v="Y"/>
  </r>
  <r>
    <s v="TSG_MLDL_PF"/>
    <n v="313921063"/>
    <n v="1115344445"/>
    <s v="719064-B21 #AKM"/>
    <s v="HP DL380 Gen9 8SFF CTO Server"/>
    <n v="1"/>
    <s v="4QZT42067946"/>
    <d v="2015-01-16T15:11:47"/>
    <d v="2015-01-21T00:00:00"/>
    <d v="2015-01-18T13:44:04"/>
    <d v="2015-01-17T11:30:00"/>
    <d v="2015-01-17T14:24:19"/>
    <d v="2015-01-18T10:55:26"/>
    <n v="21"/>
    <n v="41.299999237060547"/>
    <x v="0"/>
    <m/>
    <m/>
    <m/>
    <m/>
    <m/>
    <m/>
    <m/>
    <m/>
    <m/>
    <s v="N"/>
    <m/>
  </r>
  <r>
    <s v="TSG_MLDL_PF"/>
    <n v="313888758"/>
    <n v="1115296047"/>
    <s v="653200-B21 #AKM"/>
    <s v="HP DL380p Gen8 8-SFF CTO Server"/>
    <n v="1"/>
    <s v="4NOT42043394"/>
    <d v="2015-01-12T17:56:09"/>
    <d v="2015-01-16T00:00:00"/>
    <d v="2015-01-15T02:13:06"/>
    <d v="2015-01-13T15:30:00"/>
    <d v="2015-01-13T22:14:09"/>
    <d v="2015-01-15T00:20:02"/>
    <n v="32.799999237060547"/>
    <n v="41.700000762939453"/>
    <x v="0"/>
    <m/>
    <m/>
    <m/>
    <m/>
    <m/>
    <m/>
    <m/>
    <m/>
    <m/>
    <s v="N"/>
    <m/>
  </r>
  <r>
    <s v="TSG_MLDL_PF"/>
    <n v="313888910"/>
    <n v="1115296221"/>
    <s v="653200-B21 #AKM"/>
    <s v="HP DL380p Gen8 8-SFF CTO Server"/>
    <n v="2"/>
    <s v="4NNT42051035"/>
    <d v="2015-01-14T01:45:38"/>
    <d v="2015-01-20T00:00:00"/>
    <d v="2015-01-17T04:38:43"/>
    <d v="2015-01-15T23:03:00"/>
    <d v="2015-01-16T08:37:00"/>
    <d v="2015-01-17T03:28:42"/>
    <n v="28.399999618530273"/>
    <n v="74.900001525878906"/>
    <x v="2"/>
    <m/>
    <m/>
    <m/>
    <m/>
    <m/>
    <m/>
    <m/>
    <m/>
    <m/>
    <s v="N"/>
    <m/>
  </r>
  <r>
    <s v="TSG_MLDL_PF"/>
    <n v="313887979"/>
    <n v="1115294777"/>
    <s v="703586-B21 #AKM"/>
    <s v="HP DL580R07 CN CTO Server"/>
    <n v="4"/>
    <s v="4NNT42037704"/>
    <d v="2015-01-11T01:35:16"/>
    <d v="2015-01-15T00:00:00"/>
    <d v="2015-01-14T13:46:58"/>
    <d v="2015-01-12T20:27:00"/>
    <d v="2015-01-12T23:53:51"/>
    <d v="2015-01-14T10:55:23"/>
    <n v="26.399999618530273"/>
    <n v="36.200000762939453"/>
    <x v="0"/>
    <m/>
    <m/>
    <m/>
    <m/>
    <m/>
    <m/>
    <m/>
    <m/>
    <m/>
    <s v="N"/>
    <m/>
  </r>
  <r>
    <s v="TSG_MLDL_PF"/>
    <n v="313930896"/>
    <n v="1115357687"/>
    <s v="769503-AA1"/>
    <s v="HP DL160 Gen9 E5-2603v3 LFF Ety CN Svr"/>
    <n v="2"/>
    <s v="4NJT42055575"/>
    <d v="2015-01-14T19:41:59"/>
    <d v="2015-01-19T00:00:00"/>
    <d v="2015-01-16T15:55:34"/>
    <d v="2015-01-15T14:38:00"/>
    <d v="2015-01-15T22:07:45"/>
    <d v="2015-01-16T12:59:53"/>
    <n v="22.399999618530273"/>
    <n v="44.200000762939453"/>
    <x v="0"/>
    <m/>
    <m/>
    <m/>
    <m/>
    <m/>
    <m/>
    <m/>
    <m/>
    <m/>
    <s v="N"/>
    <m/>
  </r>
  <r>
    <s v="TSG_MLDL_PF"/>
    <n v="313919328"/>
    <n v="1115340733"/>
    <s v="666532-B21 #AKM"/>
    <s v="HP DL360p Gen8 10-SFF CTO Server"/>
    <n v="1"/>
    <s v="4NJT42055226"/>
    <d v="2015-01-14T18:25:58"/>
    <d v="2015-01-19T00:00:00"/>
    <d v="2015-01-16T20:25:43"/>
    <d v="2015-01-15T14:38:00"/>
    <d v="2015-01-15T21:18:56"/>
    <d v="2015-01-16T18:59:46"/>
    <n v="28.399999618530273"/>
    <n v="50"/>
    <x v="0"/>
    <m/>
    <m/>
    <m/>
    <m/>
    <m/>
    <m/>
    <m/>
    <m/>
    <m/>
    <s v="N"/>
    <m/>
  </r>
  <r>
    <s v="TSG_MLDL_PF"/>
    <n v="313926349"/>
    <n v="1115355438"/>
    <s v="653203-B21 #AKM"/>
    <s v="HP DL385p Gen8 8-SFF CTO Server"/>
    <n v="2"/>
    <s v="4LZT42066994"/>
    <d v="2015-01-16T13:47:44"/>
    <d v="2015-01-21T00:00:00"/>
    <d v="2015-01-18T20:51:09"/>
    <d v="2015-01-17T11:30:00"/>
    <d v="2015-01-17T15:58:37"/>
    <d v="2015-01-18T19:29:56"/>
    <n v="21"/>
    <n v="42.700000762939453"/>
    <x v="0"/>
    <m/>
    <m/>
    <m/>
    <m/>
    <m/>
    <m/>
    <m/>
    <m/>
    <m/>
    <s v="N"/>
    <s v="Y"/>
  </r>
  <r>
    <s v="TSG_MLDL_PF"/>
    <n v="313926349"/>
    <n v="1115355439"/>
    <s v="669804-B21 #AKM"/>
    <s v="HP DL385p Gen8 8-LFF CTO Server"/>
    <n v="2"/>
    <s v="4LZT42066994"/>
    <d v="2015-01-16T13:47:46"/>
    <d v="2015-01-21T00:00:00"/>
    <d v="2015-01-18T20:51:09"/>
    <d v="2015-01-17T11:30:00"/>
    <d v="2015-01-17T16:07:14"/>
    <d v="2015-01-18T07:52:51"/>
    <n v="20.399999618530273"/>
    <n v="42.700000762939453"/>
    <x v="0"/>
    <m/>
    <m/>
    <m/>
    <m/>
    <m/>
    <m/>
    <m/>
    <m/>
    <m/>
    <s v="N"/>
    <s v="Y"/>
  </r>
  <r>
    <s v="TSG_MLDL_PF"/>
    <n v="313902795"/>
    <n v="1115317042"/>
    <s v="653200-B21 #AKM"/>
    <s v="HP DL380p Gen8 8-SFF CTO Server"/>
    <n v="2"/>
    <s v="4LZT42043425"/>
    <d v="2015-01-12T18:00:02"/>
    <d v="2015-01-16T00:00:00"/>
    <d v="2015-01-14T20:25:02"/>
    <d v="2015-01-13T15:30:00"/>
    <d v="2015-01-14T00:34:33"/>
    <d v="2015-01-14T17:11:15"/>
    <n v="25.700000762939453"/>
    <n v="35.900001525878906"/>
    <x v="0"/>
    <m/>
    <m/>
    <m/>
    <m/>
    <m/>
    <m/>
    <m/>
    <m/>
    <m/>
    <s v="N"/>
    <m/>
  </r>
  <r>
    <s v="TSG_MLDL_PF"/>
    <n v="313887996"/>
    <n v="1115294801"/>
    <s v="653200-B21 #AKM"/>
    <s v="HP DL380p Gen8 8-SFF CTO Server"/>
    <n v="2"/>
    <s v="4LZT42042689"/>
    <d v="2015-01-12T16:04:59"/>
    <d v="2015-01-16T00:00:00"/>
    <d v="2015-01-14T12:10:55"/>
    <d v="2015-01-13T15:30:00"/>
    <d v="2015-01-13T18:46:53"/>
    <d v="2015-01-14T09:24:18"/>
    <n v="17.899999618530273"/>
    <n v="27.700000762939453"/>
    <x v="0"/>
    <m/>
    <m/>
    <m/>
    <m/>
    <m/>
    <m/>
    <m/>
    <m/>
    <m/>
    <s v="N"/>
    <m/>
  </r>
  <r>
    <s v="TSG_MLDL_PF"/>
    <n v="313863779"/>
    <n v="1115272275"/>
    <s v="L6B06A"/>
    <s v="HP DL380p E5-2630v2 Qih-F5 Spcl Svr"/>
    <n v="8"/>
    <s v="4LOT42023949"/>
    <d v="2015-01-08T13:18:09"/>
    <d v="2015-01-13T00:00:00"/>
    <d v="2015-01-13T15:23:46"/>
    <d v="2015-01-08T20:45:00"/>
    <d v="2015-01-08T22:47:24"/>
    <d v="2015-01-09T22:28:45"/>
    <n v="25.700000762939453"/>
    <n v="74.099998474121094"/>
    <x v="2"/>
    <m/>
    <m/>
    <m/>
    <m/>
    <m/>
    <m/>
    <m/>
    <m/>
    <m/>
    <s v="N"/>
    <m/>
  </r>
  <r>
    <s v="TSG_MLDL_PF"/>
    <n v="313899537"/>
    <n v="1115311666"/>
    <s v="653200-B21 #AKM"/>
    <s v="HP DL380p Gen8 8-SFF CTO Server"/>
    <n v="1"/>
    <s v="4KST42057662"/>
    <d v="2015-01-15T02:02:07"/>
    <d v="2015-01-21T00:00:00"/>
    <d v="2015-01-18T11:53:04"/>
    <d v="2015-01-17T11:30:00"/>
    <d v="2015-01-17T15:49:33"/>
    <d v="2015-01-18T09:15:19"/>
    <n v="21"/>
    <n v="78.5"/>
    <x v="2"/>
    <m/>
    <m/>
    <m/>
    <m/>
    <m/>
    <m/>
    <m/>
    <m/>
    <m/>
    <s v="N"/>
    <m/>
  </r>
  <r>
    <s v="TSG_MLDL_PF"/>
    <n v="313899528"/>
    <n v="1115311649"/>
    <s v="653200-B21 #AKM"/>
    <s v="HP DL380p Gen8 8-SFF CTO Server"/>
    <n v="2"/>
    <s v="4KST42039873"/>
    <d v="2015-01-12T02:19:45"/>
    <d v="2015-01-16T00:00:00"/>
    <d v="2015-01-13T18:18:39"/>
    <d v="2015-01-12T20:27:00"/>
    <d v="2015-01-13T00:31:17"/>
    <d v="2015-01-13T16:04:14"/>
    <n v="7.5999999046325684"/>
    <n v="9.8000001907348633"/>
    <x v="0"/>
    <m/>
    <m/>
    <m/>
    <m/>
    <m/>
    <m/>
    <m/>
    <m/>
    <m/>
    <s v="N"/>
    <m/>
  </r>
  <r>
    <s v="TSG_MLDL_PF"/>
    <n v="313925951"/>
    <n v="1115350509"/>
    <s v="653200-B21 #AKM"/>
    <s v="HP DL380p Gen8 8-SFF CTO Server"/>
    <n v="4"/>
    <s v="4KMT42061893"/>
    <d v="2015-01-15T18:31:26"/>
    <d v="2015-01-20T00:00:00"/>
    <d v="2015-01-18T05:53:00"/>
    <d v="2015-01-17T08:40:00"/>
    <d v="2015-01-17T11:40:15"/>
    <d v="2015-01-18T03:25:51"/>
    <n v="18.799999237060547"/>
    <n v="59.400001525878906"/>
    <x v="0"/>
    <m/>
    <m/>
    <m/>
    <m/>
    <m/>
    <m/>
    <m/>
    <m/>
    <m/>
    <s v="N"/>
    <m/>
  </r>
  <r>
    <s v="TSG_MLDL_PF"/>
    <n v="313888909"/>
    <n v="1115296219"/>
    <s v="653200-B21 #AKM"/>
    <s v="HP DL380p Gen8 8-SFF CTO Server"/>
    <n v="10"/>
    <s v="4KMT42051034"/>
    <d v="2015-01-14T01:49:39"/>
    <d v="2015-01-20T00:00:00"/>
    <d v="2015-01-17T08:43:45"/>
    <d v="2015-01-15T23:03:00"/>
    <d v="2015-01-16T09:57:45"/>
    <d v="2015-01-17T06:27:41"/>
    <n v="31.399999618530273"/>
    <n v="78.900001525878906"/>
    <x v="2"/>
    <m/>
    <m/>
    <m/>
    <m/>
    <m/>
    <m/>
    <m/>
    <m/>
    <m/>
    <s v="N"/>
    <m/>
  </r>
  <r>
    <s v="TSG_MLDL_PF"/>
    <n v="313888748"/>
    <n v="1115296038"/>
    <s v="653200-B21 #AKM"/>
    <s v="HP DL380p Gen8 8-SFF CTO Server"/>
    <n v="10"/>
    <s v="4KMT42042693"/>
    <d v="2015-01-12T16:05:59"/>
    <d v="2015-01-16T00:00:00"/>
    <d v="2015-01-14T14:02:56"/>
    <d v="2015-01-13T15:30:00"/>
    <d v="2015-01-13T18:51:21"/>
    <d v="2015-01-14T12:07:39"/>
    <n v="20.600000381469727"/>
    <n v="29.5"/>
    <x v="0"/>
    <m/>
    <m/>
    <m/>
    <m/>
    <m/>
    <m/>
    <m/>
    <m/>
    <m/>
    <s v="N"/>
    <m/>
  </r>
  <r>
    <s v="TSG_MLDL_PF"/>
    <n v="313887980"/>
    <n v="1115294778"/>
    <s v="703586-B21 #AKM"/>
    <s v="HP DL580R07 CN CTO Server"/>
    <n v="1"/>
    <s v="4KMT42037705"/>
    <d v="2015-01-11T01:35:23"/>
    <d v="2015-01-15T00:00:00"/>
    <d v="2015-01-13T17:15:37"/>
    <d v="2015-01-12T20:27:00"/>
    <d v="2015-01-13T00:09:46"/>
    <d v="2015-01-13T15:07:48"/>
    <n v="6.5999999046325684"/>
    <n v="15.699999809265137"/>
    <x v="0"/>
    <m/>
    <m/>
    <m/>
    <m/>
    <m/>
    <m/>
    <m/>
    <m/>
    <m/>
    <s v="N"/>
    <m/>
  </r>
  <r>
    <s v="TSG_MLDL_PF"/>
    <n v="313915864"/>
    <n v="1115335108"/>
    <s v="717170-371"/>
    <s v="HP DL320eGen8v2 E3-1220v3 Base AP Svr"/>
    <n v="1"/>
    <s v="4KDA42042801"/>
    <d v="2015-01-12T16:02:06"/>
    <d v="2015-01-15T00:00:00"/>
    <d v="2015-01-14T20:25:06"/>
    <d v="2015-01-13T21:00:00"/>
    <d v="2015-01-14T06:35:33"/>
    <d v="2015-01-14T18:19:41"/>
    <n v="21.299999237060547"/>
    <n v="35.900001525878906"/>
    <x v="0"/>
    <m/>
    <m/>
    <m/>
    <m/>
    <m/>
    <m/>
    <m/>
    <m/>
    <m/>
    <s v="N"/>
    <m/>
  </r>
  <r>
    <s v="TSG_MLDL_PF"/>
    <n v="313910769"/>
    <n v="1115326814"/>
    <s v="704963-B21 #AKM"/>
    <s v="HP DL585 G7 BC NIC CTO Server"/>
    <n v="1"/>
    <s v="4JYT42032262"/>
    <d v="2015-01-09T18:32:48"/>
    <d v="2015-01-14T00:00:00"/>
    <d v="2015-01-12T12:42:15"/>
    <d v="2015-01-10T09:30:00"/>
    <d v="2015-01-10T14:03:08"/>
    <d v="2015-01-12T10:11:47"/>
    <n v="23"/>
    <n v="38"/>
    <x v="0"/>
    <m/>
    <m/>
    <m/>
    <m/>
    <m/>
    <m/>
    <m/>
    <m/>
    <m/>
    <s v="N"/>
    <m/>
  </r>
  <r>
    <s v="TSG_MLDL_PF"/>
    <n v="313937102"/>
    <n v="1115366443"/>
    <s v="719064-B21 #AKM"/>
    <s v="HP DL380 Gen9 8SFF CTO Server"/>
    <n v="1"/>
    <s v="4HZT42070309"/>
    <d v="2015-01-16T19:46:53"/>
    <d v="2015-01-21T00:00:00"/>
    <d v="2015-01-18T18:13:08"/>
    <d v="2015-01-17T15:00:00"/>
    <d v="2015-01-17T16:34:03"/>
    <d v="2015-01-18T15:48:13"/>
    <n v="17.5"/>
    <n v="36.700000762939453"/>
    <x v="0"/>
    <m/>
    <m/>
    <m/>
    <m/>
    <m/>
    <m/>
    <m/>
    <m/>
    <m/>
    <s v="N"/>
    <m/>
  </r>
  <r>
    <s v="TSG_OEM_MLDL_PF"/>
    <n v="313915938"/>
    <n v="1115334403"/>
    <s v="F9B06A"/>
    <s v="H3C R390 E5-2620v2 1P 12LFF FlexServer"/>
    <n v="6"/>
    <s v="4HZT42061887"/>
    <d v="2015-01-15T18:31:28"/>
    <d v="2015-01-20T00:00:00"/>
    <d v="2015-01-18T04:34:00"/>
    <d v="2015-01-17T08:40:00"/>
    <d v="2015-01-17T11:59:07"/>
    <d v="2015-01-18T02:57:20"/>
    <n v="18.299999237060547"/>
    <n v="58"/>
    <x v="0"/>
    <m/>
    <m/>
    <m/>
    <m/>
    <m/>
    <m/>
    <m/>
    <m/>
    <m/>
    <s v="N"/>
    <m/>
  </r>
  <r>
    <s v="TSG_OEM_MLDL_PF"/>
    <n v="313897154"/>
    <n v="1115308829"/>
    <s v="H6Z78A"/>
    <s v="H3C FlexStorage P5730 900GB SAS Storage"/>
    <n v="2"/>
    <s v="4HZT42057657"/>
    <d v="2015-01-15T02:02:06"/>
    <d v="2015-01-21T00:00:00"/>
    <d v="2015-01-18T04:34:00"/>
    <d v="2015-01-17T01:30:00"/>
    <d v="2015-01-17T05:40:20"/>
    <d v="2015-01-18T02:51:19"/>
    <n v="25.399999618530273"/>
    <n v="74.5"/>
    <x v="2"/>
    <m/>
    <m/>
    <m/>
    <m/>
    <m/>
    <m/>
    <m/>
    <m/>
    <m/>
    <s v="N"/>
    <m/>
  </r>
  <r>
    <s v="TSG_OEM_MLDL_PF"/>
    <n v="313932701"/>
    <n v="1115359951"/>
    <s v="J4N28A"/>
    <s v="H3C R590 E5-4620v2 2P FlexServer"/>
    <n v="4"/>
    <s v="4HZT42055583"/>
    <d v="2015-01-14T19:41:59"/>
    <d v="2015-01-19T00:00:00"/>
    <d v="2015-01-17T01:58:40"/>
    <d v="2015-01-15T14:38:00"/>
    <d v="2015-01-15T21:32:02"/>
    <d v="2015-01-17T00:24:51"/>
    <n v="33.799999237060547"/>
    <n v="54.299999237060547"/>
    <x v="0"/>
    <m/>
    <m/>
    <m/>
    <m/>
    <m/>
    <m/>
    <m/>
    <m/>
    <m/>
    <s v="N"/>
    <m/>
  </r>
  <r>
    <s v="TSG_OEM_BLD_PF"/>
    <n v="313920813"/>
    <n v="1115342057"/>
    <s v="E5L14A"/>
    <s v="H3C B590 E5-4607 4P 530FLB Flex Svr"/>
    <n v="1"/>
    <s v="4HZT42053160"/>
    <d v="2015-01-14T13:15:52"/>
    <d v="2015-01-19T00:00:00"/>
    <d v="2015-01-16T15:39:38"/>
    <d v="2015-01-15T09:00:00"/>
    <d v="2015-01-15T16:07:51"/>
    <d v="2015-01-16T12:26:36"/>
    <n v="27.399999618530273"/>
    <n v="50.400001525878906"/>
    <x v="0"/>
    <m/>
    <m/>
    <m/>
    <m/>
    <m/>
    <m/>
    <m/>
    <m/>
    <m/>
    <s v="N"/>
    <m/>
  </r>
  <r>
    <s v="TSG_OEM_MLDL_PF"/>
    <n v="313916429"/>
    <n v="1115336276"/>
    <s v="F9B04A"/>
    <s v="H3C R390 E5-2650v2 2P 8SFF FlexServer"/>
    <n v="6"/>
    <s v="4HZT42053156"/>
    <d v="2015-01-14T13:15:52"/>
    <d v="2015-01-19T00:00:00"/>
    <d v="2015-01-17T01:58:40"/>
    <d v="2015-01-15T18:18:00"/>
    <d v="2015-01-15T23:02:42"/>
    <d v="2015-01-17T00:41:48"/>
    <n v="30.399999618530273"/>
    <n v="60.700000762939453"/>
    <x v="2"/>
    <m/>
    <m/>
    <m/>
    <m/>
    <m/>
    <m/>
    <m/>
    <m/>
    <m/>
    <s v="N"/>
    <m/>
  </r>
  <r>
    <s v="TSG_OEM_MLDL_PF"/>
    <n v="313897154"/>
    <n v="1115308828"/>
    <s v="G9D61A"/>
    <s v="H3C R690 E7-4830V2 4P FlexServer"/>
    <n v="6"/>
    <s v="4HZT42053139"/>
    <d v="2015-01-14T13:16:51"/>
    <d v="2015-01-19T00:00:00"/>
    <d v="2015-01-18T02:41:59"/>
    <d v="2015-01-15T18:18:00"/>
    <d v="2015-01-16T03:02:00"/>
    <d v="2015-01-18T01:25:59"/>
    <n v="55.099998474121094"/>
    <n v="85.400001525878906"/>
    <x v="1"/>
    <m/>
    <m/>
    <m/>
    <m/>
    <m/>
    <m/>
    <m/>
    <m/>
    <m/>
    <s v="N"/>
    <m/>
  </r>
  <r>
    <s v="TSG_OEM_BLD_PF"/>
    <n v="313897154"/>
    <n v="1115308825"/>
    <s v="J4N23A"/>
    <s v="H3C B590 E5-4607v2 4P 554FLB FlexServer"/>
    <n v="4"/>
    <s v="4HZT42053138"/>
    <d v="2015-01-14T13:15:53"/>
    <d v="2015-01-19T00:00:00"/>
    <d v="2015-01-16T22:16:42"/>
    <d v="2015-01-15T09:00:00"/>
    <d v="2015-01-15T16:08:42"/>
    <d v="2015-01-16T19:50:04"/>
    <n v="34.799999237060547"/>
    <n v="57"/>
    <x v="0"/>
    <m/>
    <m/>
    <m/>
    <m/>
    <m/>
    <m/>
    <m/>
    <m/>
    <m/>
    <s v="N"/>
    <m/>
  </r>
  <r>
    <s v="TSG_OEM_MLDL_PF"/>
    <n v="313897154"/>
    <n v="1115308824"/>
    <s v="F9B03A"/>
    <s v="H3C R390 E5-2620v2 2P 8SFF FlexServer"/>
    <n v="20"/>
    <s v="4HZT42053137"/>
    <d v="2015-01-14T13:17:51"/>
    <d v="2015-01-19T00:00:00"/>
    <d v="2015-01-17T12:26:51"/>
    <d v="2015-01-15T18:18:00"/>
    <d v="2015-01-15T22:27:35"/>
    <d v="2015-01-17T10:19:10"/>
    <n v="40"/>
    <n v="71.199996948242187"/>
    <x v="2"/>
    <m/>
    <m/>
    <m/>
    <m/>
    <m/>
    <m/>
    <m/>
    <m/>
    <m/>
    <s v="N"/>
    <m/>
  </r>
  <r>
    <s v="TSG_MLDL_PF"/>
    <n v="313912158"/>
    <n v="1115329511"/>
    <s v="B7E23A"/>
    <s v="HP StoreVirtual 4530 2TB MDL SAS Storage"/>
    <n v="8"/>
    <s v="4HZT42051060"/>
    <d v="2015-01-14T01:54:39"/>
    <d v="2015-01-20T00:00:00"/>
    <d v="2015-01-18T05:53:00"/>
    <d v="2015-01-17T01:30:00"/>
    <d v="2015-01-17T05:52:56"/>
    <d v="2015-01-18T03:50:25"/>
    <n v="26.299999237060547"/>
    <n v="100"/>
    <x v="2"/>
    <m/>
    <m/>
    <m/>
    <m/>
    <m/>
    <m/>
    <m/>
    <m/>
    <m/>
    <s v="N"/>
    <m/>
  </r>
  <r>
    <s v="TSG_MLDL_PF"/>
    <n v="313917770"/>
    <n v="1115339109"/>
    <s v="755259-B21 #AKM"/>
    <s v="HP DL360 Gen9 4LFF CTO Server"/>
    <n v="1"/>
    <s v="4HZT42049477"/>
    <d v="2015-01-13T19:35:34"/>
    <d v="2015-01-16T00:00:00"/>
    <d v="2015-01-15T22:31:21"/>
    <d v="2015-01-14T17:15:00"/>
    <d v="2015-01-15T00:40:04"/>
    <d v="2015-01-15T19:24:00"/>
    <n v="26.100000381469727"/>
    <n v="50.900001525878906"/>
    <x v="0"/>
    <m/>
    <m/>
    <m/>
    <m/>
    <m/>
    <m/>
    <m/>
    <m/>
    <m/>
    <s v="N"/>
    <m/>
  </r>
  <r>
    <s v="TSG_MLDL_PF"/>
    <n v="313917770"/>
    <n v="1115339108"/>
    <s v="755259-B21 #AKM"/>
    <s v="HP DL360 Gen9 4LFF CTO Server"/>
    <n v="8"/>
    <s v="4HZT42049476"/>
    <d v="2015-01-13T19:37:33"/>
    <d v="2015-01-16T00:00:00"/>
    <d v="2015-01-16T10:51:29"/>
    <d v="2015-01-14T17:15:00"/>
    <d v="2015-01-15T00:40:57"/>
    <d v="2015-01-16T07:43:35"/>
    <n v="38.5"/>
    <n v="63.200000762939453"/>
    <x v="2"/>
    <m/>
    <m/>
    <m/>
    <m/>
    <m/>
    <m/>
    <m/>
    <m/>
    <m/>
    <s v="N"/>
    <m/>
  </r>
  <r>
    <s v="TSG_MLDL_PF"/>
    <n v="313917770"/>
    <n v="1115339107"/>
    <s v="755258-B21 #AKM"/>
    <s v="HP DL360 Gen9 8SFF CTO Server"/>
    <n v="8"/>
    <s v="4HZT42049475"/>
    <d v="2015-01-13T19:36:35"/>
    <d v="2015-01-16T00:00:00"/>
    <d v="2015-01-16T13:15:38"/>
    <d v="2015-01-14T17:15:00"/>
    <d v="2015-01-15T00:48:26"/>
    <d v="2015-01-16T10:30:33"/>
    <n v="41.299999237060547"/>
    <n v="65.699996948242188"/>
    <x v="2"/>
    <m/>
    <m/>
    <m/>
    <m/>
    <m/>
    <m/>
    <m/>
    <m/>
    <m/>
    <s v="N"/>
    <m/>
  </r>
  <r>
    <s v="TSG_MLDL_PF"/>
    <n v="313917770"/>
    <n v="1115339106"/>
    <s v="755258-B21 #AKM"/>
    <s v="HP DL360 Gen9 8SFF CTO Server"/>
    <n v="1"/>
    <s v="4HZT42049474"/>
    <d v="2015-01-13T19:35:34"/>
    <d v="2015-01-16T00:00:00"/>
    <d v="2015-01-16T08:28:29"/>
    <d v="2015-01-14T17:15:00"/>
    <d v="2015-01-15T00:39:05"/>
    <d v="2015-01-16T06:51:38"/>
    <n v="37.599998474121094"/>
    <n v="60.900001525878906"/>
    <x v="2"/>
    <m/>
    <m/>
    <m/>
    <m/>
    <m/>
    <m/>
    <m/>
    <m/>
    <m/>
    <s v="N"/>
    <m/>
  </r>
  <r>
    <s v="TSG_OEM_BLD_PF"/>
    <n v="313912159"/>
    <n v="1115332822"/>
    <s v="G8A82A"/>
    <s v="H3C B390 E5-2650v2 2P 554FLB FlexServer"/>
    <n v="40"/>
    <s v="4HZT42047581"/>
    <d v="2015-01-13T13:24:26"/>
    <d v="2015-01-16T00:00:00"/>
    <d v="2015-01-15T17:46:19"/>
    <d v="2015-01-14T07:00:00"/>
    <d v="2015-01-14T12:46:29"/>
    <d v="2015-01-15T13:23:42"/>
    <n v="30.399999618530273"/>
    <n v="52.400001525878906"/>
    <x v="0"/>
    <m/>
    <m/>
    <m/>
    <m/>
    <m/>
    <m/>
    <m/>
    <m/>
    <m/>
    <s v="N"/>
    <m/>
  </r>
  <r>
    <s v="TSG_OEM_MLDL_PF"/>
    <n v="313912158"/>
    <n v="1115329508"/>
    <s v="F9B04A"/>
    <s v="H3C R390 E5-2650v2 2P 8SFF FlexServer"/>
    <n v="10"/>
    <s v="4HZT42047570"/>
    <d v="2015-01-13T13:22:32"/>
    <d v="2015-01-16T00:00:00"/>
    <d v="2015-01-17T03:50:42"/>
    <d v="2015-01-14T17:15:00"/>
    <d v="2015-01-15T00:13:28"/>
    <d v="2015-01-17T01:46:39"/>
    <n v="56.5"/>
    <n v="86.5"/>
    <x v="1"/>
    <m/>
    <m/>
    <m/>
    <m/>
    <m/>
    <m/>
    <m/>
    <m/>
    <m/>
    <s v="N"/>
    <m/>
  </r>
  <r>
    <s v="TSG_OEM_MLDL_PF"/>
    <n v="313897757"/>
    <n v="1115308153"/>
    <s v="G9D61A"/>
    <s v="H3C R690 E7-4830V2 4P FlexServer"/>
    <n v="4"/>
    <s v="4HZT42045553"/>
    <d v="2015-01-13T01:56:18"/>
    <d v="2015-01-19T00:00:00"/>
    <d v="2015-01-15T14:50:14"/>
    <d v="2015-01-14T11:30:00"/>
    <d v="2015-01-14T15:40:53"/>
    <d v="2015-01-15T11:53:31"/>
    <n v="24.399999618530273"/>
    <n v="54.299999237060547"/>
    <x v="0"/>
    <m/>
    <m/>
    <m/>
    <m/>
    <m/>
    <m/>
    <m/>
    <m/>
    <m/>
    <s v="N"/>
    <m/>
  </r>
  <r>
    <s v="TSG_OEM_MLDL_PF"/>
    <n v="313897757"/>
    <n v="1115308152"/>
    <s v="G9D60A"/>
    <s v="H3C R690 E7-4820V2 4P FlexServer"/>
    <n v="5"/>
    <s v="4HZT42045552"/>
    <d v="2015-01-13T01:56:10"/>
    <d v="2015-01-19T00:00:00"/>
    <d v="2015-01-17T23:31:57"/>
    <d v="2015-01-14T11:30:00"/>
    <d v="2015-01-14T15:26:31"/>
    <d v="2015-01-17T21:39:42"/>
    <n v="82.199996948242188"/>
    <n v="111"/>
    <x v="1"/>
    <m/>
    <m/>
    <m/>
    <m/>
    <m/>
    <m/>
    <m/>
    <m/>
    <m/>
    <s v="N"/>
    <m/>
  </r>
  <r>
    <s v="TSG_OEM_MLDL_PF"/>
    <n v="313897757"/>
    <n v="1115308151"/>
    <s v="G9D58A"/>
    <s v="H3C R690 E7-4820V2 2P Low FlexServer"/>
    <n v="6"/>
    <s v="4HZT42045551"/>
    <d v="2015-01-13T01:56:11"/>
    <d v="2015-01-19T00:00:00"/>
    <d v="2015-01-15T17:46:18"/>
    <d v="2015-01-14T11:30:00"/>
    <d v="2015-01-14T16:18:29"/>
    <d v="2015-01-15T14:31:11"/>
    <n v="27"/>
    <n v="57.299999237060547"/>
    <x v="0"/>
    <m/>
    <m/>
    <m/>
    <m/>
    <m/>
    <m/>
    <m/>
    <m/>
    <m/>
    <s v="N"/>
    <m/>
  </r>
  <r>
    <s v="TSG_BLD_PF"/>
    <n v="313893913"/>
    <n v="1115302843"/>
    <s v="727021-B21"/>
    <s v="HP BL460c Gen9 10Gb/20Gb FLB CTO Blade"/>
    <n v="9"/>
    <s v="4HZT42045549"/>
    <d v="2015-01-13T01:56:10"/>
    <d v="2015-01-19T00:00:00"/>
    <d v="2015-01-17T12:26:51"/>
    <d v="2015-01-15T09:00:00"/>
    <d v="2015-01-15T14:02:59"/>
    <d v="2015-01-17T09:35:46"/>
    <n v="48.599998474121094"/>
    <n v="99.900001525878906"/>
    <x v="1"/>
    <m/>
    <m/>
    <m/>
    <m/>
    <m/>
    <m/>
    <m/>
    <m/>
    <m/>
    <s v="N"/>
    <m/>
  </r>
  <r>
    <s v="TSG_OEM_MLDL_PF"/>
    <n v="313885549"/>
    <n v="1115291927"/>
    <s v="G9D58A"/>
    <s v="H3C R690 E7-4820V2 2P Low FlexServer"/>
    <n v="1"/>
    <s v="4HZT42045544"/>
    <d v="2015-01-13T01:53:17"/>
    <d v="2015-01-19T00:00:00"/>
    <d v="2015-01-15T12:11:14"/>
    <d v="2015-01-14T11:30:00"/>
    <d v="2015-01-14T15:22:27"/>
    <d v="2015-01-15T09:51:45"/>
    <n v="22.399999618530273"/>
    <n v="51.700000762939453"/>
    <x v="0"/>
    <m/>
    <m/>
    <m/>
    <m/>
    <m/>
    <m/>
    <m/>
    <m/>
    <m/>
    <s v="N"/>
    <m/>
  </r>
  <r>
    <s v="TSG_OEM_MLDL_PF"/>
    <n v="313884717"/>
    <n v="1115290041"/>
    <s v="G9D57A"/>
    <s v="H3C R690 E7-4809V2 2P Low FlexServer"/>
    <n v="2"/>
    <s v="4HZT42045540"/>
    <d v="2015-01-13T01:48:16"/>
    <d v="2015-01-19T00:00:00"/>
    <d v="2015-01-15T14:50:14"/>
    <d v="2015-01-14T11:30:00"/>
    <d v="2015-01-14T16:30:46"/>
    <d v="2015-01-15T11:04:45"/>
    <n v="23.600000381469727"/>
    <n v="54.299999237060547"/>
    <x v="0"/>
    <m/>
    <m/>
    <m/>
    <m/>
    <m/>
    <m/>
    <m/>
    <m/>
    <m/>
    <s v="N"/>
    <m/>
  </r>
  <r>
    <s v="TSG_MLDL_PF"/>
    <n v="313881166"/>
    <n v="1115285207"/>
    <s v="728551-B21 #AKM"/>
    <s v="HP DL580 Gen8 CTO Svr"/>
    <n v="1"/>
    <s v="4HZT42045516"/>
    <d v="2015-01-13T01:42:18"/>
    <d v="2015-01-19T00:00:00"/>
    <d v="2015-01-15T20:56:22"/>
    <d v="2015-01-14T11:30:00"/>
    <d v="2015-01-14T18:42:38"/>
    <d v="2015-01-15T19:12:04"/>
    <n v="31.700000762939453"/>
    <n v="60.400001525878906"/>
    <x v="2"/>
    <m/>
    <m/>
    <m/>
    <m/>
    <m/>
    <m/>
    <m/>
    <m/>
    <m/>
    <s v="N"/>
    <m/>
  </r>
  <r>
    <s v="TSG_MLDL_PF"/>
    <n v="313865517"/>
    <n v="1115258992"/>
    <s v="653200-B21 #AKM"/>
    <s v="HP DL380p Gen8 8-SFF CTO Server"/>
    <n v="5"/>
    <s v="4HZT42045507"/>
    <d v="2015-01-13T01:39:08"/>
    <d v="2015-01-19T00:00:00"/>
    <d v="2015-01-16T05:23:25"/>
    <d v="2015-01-14T03:20:00"/>
    <d v="2015-01-14T12:03:33"/>
    <d v="2015-01-15T00:54:45"/>
    <n v="21.600000381469727"/>
    <n v="68.900001525878906"/>
    <x v="2"/>
    <m/>
    <m/>
    <m/>
    <m/>
    <m/>
    <m/>
    <m/>
    <m/>
    <m/>
    <s v="N"/>
    <s v="Y"/>
  </r>
  <r>
    <s v="TSG_MLDL_PF"/>
    <n v="313865517"/>
    <n v="1115258993"/>
    <s v="653200-B21 #AKM"/>
    <s v="HP DL380p Gen8 8-SFF CTO Server"/>
    <n v="5"/>
    <s v="4HZT42045507"/>
    <d v="2015-01-13T01:44:09"/>
    <d v="2015-01-19T00:00:00"/>
    <d v="2015-01-16T05:23:25"/>
    <d v="2015-01-14T03:20:00"/>
    <d v="2015-01-14T11:52:26"/>
    <d v="2015-01-16T03:27:17"/>
    <n v="48.099998474121094"/>
    <n v="68.900001525878906"/>
    <x v="1"/>
    <m/>
    <m/>
    <m/>
    <m/>
    <m/>
    <m/>
    <m/>
    <m/>
    <m/>
    <s v="N"/>
    <s v="Y"/>
  </r>
  <r>
    <s v="TSG_OEM_MLDL_PF"/>
    <n v="313920140"/>
    <n v="1115342009"/>
    <s v="J4N28A"/>
    <s v="H3C R590 E5-4620v2 2P FlexServer"/>
    <n v="3"/>
    <s v="4HZT42044339"/>
    <d v="2015-01-12T20:49:04"/>
    <d v="2015-01-15T00:00:00"/>
    <d v="2015-01-14T16:43:01"/>
    <d v="2015-01-13T21:00:00"/>
    <d v="2015-01-14T00:02:21"/>
    <d v="2015-01-14T13:01:30"/>
    <n v="16"/>
    <n v="32.200000762939453"/>
    <x v="0"/>
    <m/>
    <m/>
    <m/>
    <m/>
    <m/>
    <m/>
    <m/>
    <m/>
    <m/>
    <s v="N"/>
    <m/>
  </r>
  <r>
    <s v="TSG_OEM_MLDL_PF"/>
    <n v="313915538"/>
    <n v="1115334757"/>
    <s v="J4N27A"/>
    <s v="H3C R590 E5-4607v2 4P FlexServer"/>
    <n v="18"/>
    <s v="4HZT42041830"/>
    <d v="2015-01-12T13:04:03"/>
    <d v="2015-01-15T00:00:00"/>
    <d v="2015-01-14T16:43:01"/>
    <d v="2015-01-13T09:46:00"/>
    <d v="2015-01-13T12:39:17"/>
    <d v="2015-01-14T12:27:46"/>
    <n v="26.700000762939453"/>
    <n v="32.200000762939453"/>
    <x v="0"/>
    <m/>
    <m/>
    <m/>
    <m/>
    <m/>
    <m/>
    <m/>
    <m/>
    <m/>
    <s v="N"/>
    <m/>
  </r>
  <r>
    <s v="TSG_OEM_MLDL_PF"/>
    <n v="313898040"/>
    <n v="1115309231"/>
    <s v="F9B05A"/>
    <s v="H3C R390 E5-2697v2 2P 8SFF FlexServer"/>
    <n v="1"/>
    <s v="4HZT42041807"/>
    <d v="2015-01-12T13:03:04"/>
    <d v="2015-01-15T00:00:00"/>
    <d v="2015-01-14T04:06:49"/>
    <d v="2015-01-13T09:46:00"/>
    <d v="2015-01-13T15:00:09"/>
    <d v="2015-01-14T02:39:09"/>
    <n v="16.899999618530273"/>
    <n v="19.600000381469727"/>
    <x v="0"/>
    <m/>
    <m/>
    <m/>
    <m/>
    <m/>
    <m/>
    <m/>
    <m/>
    <m/>
    <s v="N"/>
    <m/>
  </r>
  <r>
    <s v="TSG_OEM_MLDL_PF"/>
    <n v="313898040"/>
    <n v="1115309230"/>
    <s v="F9B04A"/>
    <s v="H3C R390 E5-2650v2 2P 8SFF FlexServer"/>
    <n v="5"/>
    <s v="4HZT42041806"/>
    <d v="2015-01-12T13:02:56"/>
    <d v="2015-01-15T00:00:00"/>
    <d v="2015-01-14T04:06:49"/>
    <d v="2015-01-13T09:46:00"/>
    <d v="2015-01-13T14:48:54"/>
    <d v="2015-01-14T02:18:17"/>
    <n v="16.5"/>
    <n v="19.600000381469727"/>
    <x v="0"/>
    <m/>
    <m/>
    <m/>
    <m/>
    <m/>
    <m/>
    <m/>
    <m/>
    <m/>
    <s v="N"/>
    <m/>
  </r>
  <r>
    <s v="TSG_OEM_MLDL_PF"/>
    <n v="313897757"/>
    <n v="1115308147"/>
    <s v="F9B06A"/>
    <s v="H3C R390 E5-2620v2 1P 12LFF FlexServer"/>
    <n v="7"/>
    <s v="4HZT42041801"/>
    <d v="2015-01-12T13:02:55"/>
    <d v="2015-01-15T00:00:00"/>
    <d v="2015-01-14T04:06:49"/>
    <d v="2015-01-13T09:46:00"/>
    <d v="2015-01-13T14:28:43"/>
    <d v="2015-01-14T01:40:26"/>
    <n v="15.899999618530273"/>
    <n v="19.600000381469727"/>
    <x v="0"/>
    <m/>
    <m/>
    <m/>
    <m/>
    <m/>
    <m/>
    <m/>
    <m/>
    <m/>
    <s v="N"/>
    <m/>
  </r>
  <r>
    <s v="TSG_OEM_MLDL_PF"/>
    <n v="313884719"/>
    <n v="1115290053"/>
    <s v="F9B02A"/>
    <s v="H3C R390 E5-2609v2 2P 8SFF FlexServer"/>
    <n v="30"/>
    <s v="4HZT42041798"/>
    <d v="2015-01-12T13:04:04"/>
    <d v="2015-01-15T00:00:00"/>
    <d v="2015-01-14T18:18:04"/>
    <d v="2015-01-13T21:00:00"/>
    <d v="2015-01-13T22:52:37"/>
    <d v="2015-01-14T15:17:08"/>
    <n v="18.299999237060547"/>
    <n v="33.799999237060547"/>
    <x v="0"/>
    <m/>
    <m/>
    <m/>
    <m/>
    <m/>
    <m/>
    <m/>
    <m/>
    <m/>
    <s v="N"/>
    <m/>
  </r>
  <r>
    <s v="TSG_OEM_MLDL_PF"/>
    <n v="313883448"/>
    <n v="1115288994"/>
    <s v="E1U82B"/>
    <s v="H3C R590 E5-4607 4P FlexServer"/>
    <n v="1"/>
    <s v="4HZT42041793"/>
    <d v="2015-01-12T13:01:32"/>
    <d v="2015-01-15T00:00:00"/>
    <d v="2015-01-14T09:31:53"/>
    <d v="2015-01-13T09:46:00"/>
    <d v="2015-01-13T15:10:15"/>
    <d v="2015-01-14T06:18:19"/>
    <n v="20.5"/>
    <n v="25"/>
    <x v="0"/>
    <m/>
    <m/>
    <m/>
    <m/>
    <m/>
    <m/>
    <m/>
    <m/>
    <m/>
    <s v="N"/>
    <m/>
  </r>
  <r>
    <s v="TSG_OEM_MLDL_PF"/>
    <n v="313883448"/>
    <n v="1115288991"/>
    <s v="F9B06A"/>
    <s v="H3C R390 E5-2620v2 1P 12LFF FlexServer"/>
    <n v="3"/>
    <s v="4HZT42041792"/>
    <d v="2015-01-12T13:02:55"/>
    <d v="2015-01-15T00:00:00"/>
    <d v="2015-01-14T04:06:49"/>
    <d v="2015-01-13T09:46:00"/>
    <d v="2015-01-13T14:42:46"/>
    <d v="2015-01-14T02:38:41"/>
    <n v="16.899999618530273"/>
    <n v="19.600000381469727"/>
    <x v="0"/>
    <m/>
    <m/>
    <m/>
    <m/>
    <m/>
    <m/>
    <m/>
    <m/>
    <m/>
    <s v="N"/>
    <m/>
  </r>
  <r>
    <s v="TSG_OEM_MLDL_PF"/>
    <n v="313869060"/>
    <n v="1115268667"/>
    <s v="F9B03A"/>
    <s v="H3C R390 E5-2620v2 2P 8SFF FlexServer"/>
    <n v="20"/>
    <s v="4HZT42041788"/>
    <d v="2015-01-12T13:03:55"/>
    <d v="2015-01-16T00:00:00"/>
    <d v="2015-01-14T04:06:48"/>
    <d v="2015-01-13T09:46:00"/>
    <d v="2015-01-13T13:09:02"/>
    <d v="2015-01-14T02:07:38"/>
    <n v="16.399999618530273"/>
    <n v="19.600000381469727"/>
    <x v="0"/>
    <m/>
    <m/>
    <m/>
    <m/>
    <m/>
    <m/>
    <m/>
    <m/>
    <m/>
    <s v="N"/>
    <m/>
  </r>
  <r>
    <s v="TSG_OEM_MLDL_PF"/>
    <n v="313897757"/>
    <n v="1115308150"/>
    <s v="J4N29A"/>
    <s v="H3C R590 E5-4620v2 4P FlexServer"/>
    <n v="2"/>
    <s v="4HZT42039865"/>
    <d v="2015-01-12T02:03:43"/>
    <d v="2015-01-16T00:00:00"/>
    <d v="2015-01-13T17:15:39"/>
    <d v="2015-01-12T20:27:00"/>
    <d v="2015-01-12T23:51:16"/>
    <d v="2015-01-13T14:11:55"/>
    <n v="5.6999998092651367"/>
    <n v="8.8000001907348633"/>
    <x v="0"/>
    <m/>
    <m/>
    <m/>
    <m/>
    <m/>
    <m/>
    <m/>
    <m/>
    <m/>
    <s v="N"/>
    <m/>
  </r>
  <r>
    <s v="TSG_MLDL_PF"/>
    <n v="313888383"/>
    <n v="1115295485"/>
    <s v="703586-B21 #AKM"/>
    <s v="HP DL580R07 CN CTO Server"/>
    <n v="2"/>
    <s v="4HZT42039863"/>
    <d v="2015-01-12T02:03:43"/>
    <d v="2015-01-16T00:00:00"/>
    <d v="2015-01-14T13:46:58"/>
    <d v="2015-01-12T20:27:00"/>
    <d v="2015-01-13T00:04:17"/>
    <d v="2015-01-14T01:17:51"/>
    <n v="16.799999237060547"/>
    <n v="29.299999237060547"/>
    <x v="0"/>
    <m/>
    <m/>
    <m/>
    <m/>
    <m/>
    <m/>
    <m/>
    <m/>
    <m/>
    <s v="N"/>
    <s v="Y"/>
  </r>
  <r>
    <s v="TSG_MLDL_PF"/>
    <n v="313888383"/>
    <n v="1115295506"/>
    <s v="703586-B21 #AKM"/>
    <s v="HP DL580R07 CN CTO Server"/>
    <n v="5"/>
    <s v="4HZT42039863"/>
    <d v="2015-01-12T02:04:43"/>
    <d v="2015-01-16T00:00:00"/>
    <d v="2015-01-14T13:46:58"/>
    <d v="2015-01-13T11:00:00"/>
    <d v="2015-01-13T15:00:46"/>
    <d v="2015-01-14T11:09:20"/>
    <n v="24.200000762939453"/>
    <n v="29.299999237060547"/>
    <x v="0"/>
    <m/>
    <m/>
    <m/>
    <m/>
    <m/>
    <m/>
    <m/>
    <m/>
    <m/>
    <s v="N"/>
    <s v="Y"/>
  </r>
  <r>
    <s v="TSG_OEM_MLDL_PF"/>
    <n v="313869060"/>
    <n v="1115268665"/>
    <s v="F9B02A"/>
    <s v="H3C R390 E5-2609v2 2P 8SFF FlexServer"/>
    <n v="30"/>
    <s v="4HZT42039850"/>
    <d v="2015-01-12T01:57:51"/>
    <d v="2015-01-16T00:00:00"/>
    <d v="2015-01-13T17:15:37"/>
    <d v="2015-01-12T20:27:00"/>
    <d v="2015-01-12T22:32:00"/>
    <d v="2015-01-13T15:30:59"/>
    <n v="7"/>
    <n v="8.8000001907348633"/>
    <x v="0"/>
    <m/>
    <m/>
    <m/>
    <m/>
    <m/>
    <m/>
    <m/>
    <m/>
    <m/>
    <s v="N"/>
    <m/>
  </r>
  <r>
    <s v="TSG_OEM_MLDL_PF"/>
    <n v="313898040"/>
    <n v="1115309229"/>
    <s v="H6Z78A"/>
    <s v="H3C FlexStorage P5730 900GB SAS Storage"/>
    <n v="1"/>
    <s v="4HZT42037719"/>
    <d v="2015-01-11T01:34:16"/>
    <d v="2015-01-15T00:00:00"/>
    <d v="2015-01-13T17:15:39"/>
    <d v="2015-01-12T20:27:00"/>
    <d v="2015-01-13T00:45:27"/>
    <d v="2015-01-13T14:33:17"/>
    <n v="6"/>
    <n v="15.699999809265137"/>
    <x v="0"/>
    <m/>
    <m/>
    <m/>
    <m/>
    <m/>
    <m/>
    <m/>
    <m/>
    <m/>
    <s v="N"/>
    <m/>
  </r>
  <r>
    <s v="TSG_OEM_MLDL_PF"/>
    <n v="313897757"/>
    <n v="1115308154"/>
    <s v="H6Z78A"/>
    <s v="H3C FlexStorage P5730 900GB SAS Storage"/>
    <n v="2"/>
    <s v="4HZT42037718"/>
    <d v="2015-01-11T01:34:17"/>
    <d v="2015-01-15T00:00:00"/>
    <d v="2015-01-14T09:31:53"/>
    <d v="2015-01-12T20:27:00"/>
    <d v="2015-01-13T00:35:59"/>
    <d v="2015-01-14T06:00:22"/>
    <n v="21.5"/>
    <n v="32"/>
    <x v="0"/>
    <m/>
    <m/>
    <m/>
    <m/>
    <m/>
    <m/>
    <m/>
    <m/>
    <m/>
    <s v="N"/>
    <m/>
  </r>
  <r>
    <s v="TSG_OEM_BLD_PF"/>
    <n v="313897757"/>
    <n v="1115308148"/>
    <s v="E2P93A"/>
    <s v="H3C B390 E52620 2P 530FLB Flex Svr"/>
    <n v="6"/>
    <s v="4HZT42037717"/>
    <d v="2015-01-11T01:34:24"/>
    <d v="2015-01-15T00:00:00"/>
    <d v="2015-01-14T06:13:52"/>
    <d v="2015-01-13T03:39:00"/>
    <d v="2015-01-13T09:26:15"/>
    <d v="2015-01-14T04:06:00"/>
    <n v="19.600000381469727"/>
    <n v="28.700000762939453"/>
    <x v="0"/>
    <m/>
    <m/>
    <m/>
    <m/>
    <m/>
    <m/>
    <m/>
    <m/>
    <m/>
    <s v="N"/>
    <m/>
  </r>
  <r>
    <s v="TSG_OEM_MLDL_PF"/>
    <n v="313884719"/>
    <n v="1115290054"/>
    <s v="F9B03A"/>
    <s v="H3C R390 E5-2620v2 2P 8SFF FlexServer"/>
    <n v="30"/>
    <s v="4HZT42037700"/>
    <d v="2015-01-11T01:37:17"/>
    <d v="2015-01-15T00:00:00"/>
    <d v="2015-01-14T02:30:45"/>
    <d v="2015-01-12T20:27:00"/>
    <d v="2015-01-12T21:45:47"/>
    <d v="2015-01-14T01:11:58"/>
    <n v="16.700000762939453"/>
    <n v="24.899999618530273"/>
    <x v="0"/>
    <m/>
    <m/>
    <m/>
    <m/>
    <m/>
    <m/>
    <m/>
    <m/>
    <m/>
    <s v="N"/>
    <m/>
  </r>
  <r>
    <s v="TSG_OEM_MLDL_PF"/>
    <n v="313883448"/>
    <n v="1115288998"/>
    <s v="H6Z78A"/>
    <s v="H3C FlexStorage P5730 900GB SAS Storage"/>
    <n v="1"/>
    <s v="4HZT42037699"/>
    <d v="2015-01-11T01:33:16"/>
    <d v="2015-01-15T00:00:00"/>
    <d v="2015-01-13T17:15:37"/>
    <d v="2015-01-12T20:27:00"/>
    <d v="2015-01-13T00:48:29"/>
    <d v="2015-01-13T14:34:25"/>
    <n v="6.0999999046325684"/>
    <n v="15.699999809265137"/>
    <x v="0"/>
    <m/>
    <m/>
    <m/>
    <m/>
    <m/>
    <m/>
    <m/>
    <m/>
    <m/>
    <s v="N"/>
    <m/>
  </r>
  <r>
    <s v="TSG_OEM_BLD_PF"/>
    <n v="313883448"/>
    <n v="1115288997"/>
    <s v="J4N24A"/>
    <s v="H3C B590 E5-4620v2 4P 554FLB FlexServer"/>
    <n v="5"/>
    <s v="4HZT42037698"/>
    <d v="2015-01-11T01:34:16"/>
    <d v="2015-01-15T00:00:00"/>
    <d v="2015-01-14T06:13:52"/>
    <d v="2015-01-13T03:39:00"/>
    <d v="2015-01-13T09:33:14"/>
    <d v="2015-01-14T03:56:21"/>
    <n v="19.399999618530273"/>
    <n v="28.700000762939453"/>
    <x v="0"/>
    <m/>
    <m/>
    <m/>
    <m/>
    <m/>
    <m/>
    <m/>
    <m/>
    <m/>
    <s v="N"/>
    <m/>
  </r>
  <r>
    <s v="TSG_OEM_MLDL_PF"/>
    <n v="313883448"/>
    <n v="1115288996"/>
    <s v="J4N29A"/>
    <s v="H3C R590 E5-4620v2 4P FlexServer"/>
    <n v="2"/>
    <s v="4HZT42037697"/>
    <d v="2015-01-11T01:33:24"/>
    <d v="2015-01-15T00:00:00"/>
    <d v="2015-01-13T17:15:37"/>
    <d v="2015-01-12T20:27:00"/>
    <d v="2015-01-12T23:49:44"/>
    <d v="2015-01-13T14:35:22"/>
    <n v="6.0999999046325684"/>
    <n v="15.699999809265137"/>
    <x v="0"/>
    <m/>
    <m/>
    <m/>
    <m/>
    <m/>
    <m/>
    <m/>
    <m/>
    <m/>
    <s v="N"/>
    <m/>
  </r>
  <r>
    <s v="TSG_OEM_MLDL_PF"/>
    <n v="313883448"/>
    <n v="1115288995"/>
    <s v="J4N27A"/>
    <s v="H3C R590 E5-4607v2 4P FlexServer"/>
    <n v="4"/>
    <s v="4HZT42037696"/>
    <d v="2015-01-11T01:34:16"/>
    <d v="2015-01-15T00:00:00"/>
    <d v="2015-01-14T12:26:53"/>
    <d v="2015-01-12T20:27:00"/>
    <d v="2015-01-12T23:47:15"/>
    <d v="2015-01-14T10:47:06"/>
    <n v="26.299999237060547"/>
    <n v="34.900001525878906"/>
    <x v="0"/>
    <m/>
    <m/>
    <m/>
    <m/>
    <m/>
    <m/>
    <m/>
    <m/>
    <m/>
    <s v="N"/>
    <m/>
  </r>
  <r>
    <s v="TSG_OEM_BLD_PF"/>
    <n v="313883448"/>
    <n v="1115288992"/>
    <s v="G8A81A"/>
    <s v="H3C B390 E5-2620v2 2P 554FLB FlexServer"/>
    <n v="10"/>
    <s v="4HZT42037695"/>
    <d v="2015-01-11T01:34:24"/>
    <d v="2015-01-15T00:00:00"/>
    <d v="2015-01-14T06:13:52"/>
    <d v="2015-01-13T03:39:00"/>
    <d v="2015-01-13T09:40:08"/>
    <d v="2015-01-14T03:09:22"/>
    <n v="18.700000762939453"/>
    <n v="28.700000762939453"/>
    <x v="0"/>
    <m/>
    <m/>
    <m/>
    <m/>
    <m/>
    <m/>
    <m/>
    <m/>
    <m/>
    <s v="N"/>
    <m/>
  </r>
  <r>
    <s v="TSG_MLDL_PF"/>
    <n v="313880940"/>
    <n v="1115286244"/>
    <s v="728551-B21 #AKM"/>
    <s v="HP DL580 Gen8 CTO Svr"/>
    <n v="1"/>
    <s v="4HZT42031841"/>
    <d v="2015-01-09T17:13:47"/>
    <d v="2015-01-14T00:00:00"/>
    <d v="2015-01-12T16:24:20"/>
    <d v="2015-01-10T09:30:00"/>
    <d v="2015-01-10T14:16:11"/>
    <d v="2015-01-12T13:22:34"/>
    <n v="23"/>
    <n v="39.299999237060547"/>
    <x v="0"/>
    <m/>
    <m/>
    <m/>
    <m/>
    <m/>
    <m/>
    <m/>
    <m/>
    <m/>
    <s v="N"/>
    <m/>
  </r>
  <r>
    <s v="TSG_MLDL_PF"/>
    <n v="313908465"/>
    <n v="1115325878"/>
    <s v="754520-B21 #AKM"/>
    <s v="HP DL160 Gen9 8SFF CTO Server"/>
    <n v="2"/>
    <s v="4HZT42031303"/>
    <d v="2015-01-09T16:07:45"/>
    <d v="2015-01-14T00:00:00"/>
    <d v="2015-01-12T14:01:17"/>
    <d v="2015-01-10T01:10:00"/>
    <d v="2015-01-10T10:15:33"/>
    <d v="2015-01-12T10:25:10"/>
    <n v="31.299999237060547"/>
    <n v="40.400001525878906"/>
    <x v="0"/>
    <m/>
    <m/>
    <m/>
    <m/>
    <m/>
    <m/>
    <m/>
    <m/>
    <m/>
    <s v="N"/>
    <m/>
  </r>
  <r>
    <s v="TSG_OEM_BLD_PF"/>
    <n v="313883448"/>
    <n v="1115288993"/>
    <s v="G8A82A"/>
    <s v="H3C B390 E5-2650v2 2P 554FLB FlexServer"/>
    <n v="5"/>
    <s v="4HZT42024672"/>
    <d v="2015-01-08T16:16:30"/>
    <d v="2015-01-13T00:00:00"/>
    <d v="2015-01-12T12:42:15"/>
    <d v="2015-01-09T15:38:00"/>
    <d v="2015-01-09T16:50:09"/>
    <d v="2015-01-12T09:56:59"/>
    <n v="40.900001525878906"/>
    <n v="64.199996948242188"/>
    <x v="2"/>
    <m/>
    <m/>
    <m/>
    <m/>
    <m/>
    <m/>
    <m/>
    <m/>
    <m/>
    <s v="N"/>
    <m/>
  </r>
  <r>
    <s v="TSG_MLDL_PF"/>
    <n v="313886005"/>
    <n v="1115292240"/>
    <s v="G5G18A"/>
    <s v="HP DL360p E5-2650v2 B3 ABTB Spcl Svr"/>
    <n v="105"/>
    <s v="4HZT42022005"/>
    <d v="2015-01-08T02:20:58"/>
    <d v="2015-01-14T00:00:00"/>
    <d v="2015-01-12T18:15:22"/>
    <d v="2015-01-09T03:00:00"/>
    <d v="2015-01-09T08:47:15"/>
    <d v="2015-01-12T15:46:34"/>
    <n v="53.5"/>
    <n v="78.199996948242188"/>
    <x v="0"/>
    <m/>
    <m/>
    <m/>
    <m/>
    <m/>
    <m/>
    <m/>
    <m/>
    <m/>
    <s v="Y"/>
    <m/>
  </r>
  <r>
    <s v="TSG_MLDL_PF"/>
    <n v="313886004"/>
    <n v="1115292239"/>
    <s v="G5G18A"/>
    <s v="HP DL360p E5-2650v2 B3 ABTB Spcl Svr"/>
    <n v="100"/>
    <s v="4HZT42022004"/>
    <d v="2015-01-08T02:21:58"/>
    <d v="2015-01-14T00:00:00"/>
    <d v="2015-01-12T18:15:22"/>
    <d v="2015-01-09T03:00:00"/>
    <d v="2015-01-09T10:15:02"/>
    <d v="2015-01-12T15:46:50"/>
    <n v="53.5"/>
    <n v="78.199996948242188"/>
    <x v="0"/>
    <m/>
    <m/>
    <m/>
    <m/>
    <m/>
    <m/>
    <m/>
    <m/>
    <m/>
    <s v="Y"/>
    <m/>
  </r>
  <r>
    <s v="TSG_MLDL_PF"/>
    <n v="313914354"/>
    <n v="1115333538"/>
    <s v="646676-371"/>
    <s v="HP ML350pT08 E5-2620 SFF Base AP Svr"/>
    <n v="1"/>
    <s v="4HOT42057668"/>
    <d v="2015-01-15T02:03:07"/>
    <d v="2015-01-21T00:00:00"/>
    <d v="2015-01-17T17:59:55"/>
    <d v="2015-01-16T10:02:00"/>
    <d v="2015-01-16T15:19:07"/>
    <d v="2015-01-17T14:38:17"/>
    <n v="28.600000381469727"/>
    <n v="64"/>
    <x v="2"/>
    <m/>
    <m/>
    <m/>
    <m/>
    <m/>
    <m/>
    <m/>
    <m/>
    <m/>
    <s v="N"/>
    <m/>
  </r>
  <r>
    <s v="TSG_MLDL_PF"/>
    <n v="313922844"/>
    <n v="1115345584"/>
    <s v="712317-371"/>
    <s v="HP MicroSvr Gen8 G1610T Entry NHP AP Svr"/>
    <n v="6"/>
    <s v="4HOT42048272"/>
    <d v="2015-01-13T16:00:28"/>
    <d v="2015-01-16T00:00:00"/>
    <d v="2015-01-16T20:25:43"/>
    <d v="2015-01-15T14:38:00"/>
    <d v="2015-01-15T22:38:16"/>
    <d v="2015-01-16T18:59:10"/>
    <n v="28.399999618530273"/>
    <n v="76.400001525878906"/>
    <x v="2"/>
    <m/>
    <m/>
    <m/>
    <m/>
    <m/>
    <m/>
    <m/>
    <m/>
    <m/>
    <s v="N"/>
    <m/>
  </r>
  <r>
    <s v="TSG_MLDL_PF"/>
    <n v="313888906"/>
    <n v="1115296216"/>
    <s v="653200-B21 #AKM"/>
    <s v="HP DL380p Gen8 8-SFF CTO Server"/>
    <n v="2"/>
    <s v="4HFT42043397"/>
    <d v="2015-01-12T17:57:10"/>
    <d v="2015-01-16T00:00:00"/>
    <d v="2015-01-14T14:02:55"/>
    <d v="2015-01-13T15:30:00"/>
    <d v="2015-01-13T19:12:42"/>
    <d v="2015-01-14T12:02:26"/>
    <n v="20.5"/>
    <n v="29.5"/>
    <x v="0"/>
    <m/>
    <m/>
    <m/>
    <m/>
    <m/>
    <m/>
    <m/>
    <m/>
    <m/>
    <s v="N"/>
    <m/>
  </r>
  <r>
    <s v="TSG_MLDL_PF"/>
    <n v="313888755"/>
    <n v="1115296037"/>
    <s v="653200-B21 #AKM"/>
    <s v="HP DL380p Gen8 8-SFF CTO Server"/>
    <n v="4"/>
    <s v="4HAT42042697"/>
    <d v="2015-01-12T16:05:59"/>
    <d v="2015-01-16T00:00:00"/>
    <d v="2015-01-14T13:46:58"/>
    <d v="2015-01-13T15:30:00"/>
    <d v="2015-01-13T18:01:55"/>
    <d v="2015-01-14T11:57:25"/>
    <n v="20.5"/>
    <n v="29.299999237060547"/>
    <x v="0"/>
    <m/>
    <m/>
    <m/>
    <m/>
    <m/>
    <m/>
    <m/>
    <m/>
    <m/>
    <s v="N"/>
    <m/>
  </r>
  <r>
    <s v="TSG_MLDL_PF"/>
    <n v="313888754"/>
    <n v="1115296043"/>
    <s v="653200-B21 #AKM"/>
    <s v="HP DL380p Gen8 8-SFF CTO Server"/>
    <n v="2"/>
    <s v="4HAT42042696"/>
    <d v="2015-01-12T16:04:59"/>
    <d v="2015-01-16T00:00:00"/>
    <d v="2015-01-14T09:31:53"/>
    <d v="2015-01-13T15:30:00"/>
    <d v="2015-01-13T18:24:30"/>
    <d v="2015-01-14T06:10:40"/>
    <n v="14.699999809265137"/>
    <n v="25"/>
    <x v="0"/>
    <m/>
    <m/>
    <m/>
    <m/>
    <m/>
    <m/>
    <m/>
    <m/>
    <m/>
    <s v="N"/>
    <m/>
  </r>
  <r>
    <s v="TSG_MLDL_PF"/>
    <n v="313888753"/>
    <n v="1115296039"/>
    <s v="653200-B21 #AKM"/>
    <s v="HP DL380p Gen8 8-SFF CTO Server"/>
    <n v="6"/>
    <s v="4H5T42042695"/>
    <d v="2015-01-12T16:05:59"/>
    <d v="2015-01-16T00:00:00"/>
    <d v="2015-01-14T16:43:01"/>
    <d v="2015-01-13T15:30:00"/>
    <d v="2015-01-13T18:32:38"/>
    <d v="2015-01-14T13:25:21"/>
    <n v="21.899999618530273"/>
    <n v="32.200000762939453"/>
    <x v="0"/>
    <m/>
    <m/>
    <m/>
    <m/>
    <m/>
    <m/>
    <m/>
    <m/>
    <m/>
    <s v="N"/>
    <m/>
  </r>
  <r>
    <s v="TSG_BLD_PF"/>
    <n v="313920898"/>
    <n v="1115343758"/>
    <s v="518878-B21"/>
    <s v="HP BL685c G7 CTO Blade"/>
    <n v="1"/>
    <s v="4GZT42066329"/>
    <d v="2015-01-16T12:09:43"/>
    <d v="2015-01-21T00:00:00"/>
    <d v="2015-01-18T16:06:07"/>
    <d v="2015-01-17T08:40:00"/>
    <d v="2015-01-17T15:41:42"/>
    <d v="2015-01-18T13:51:55"/>
    <n v="23.799999237060547"/>
    <n v="44.299999237060547"/>
    <x v="0"/>
    <m/>
    <m/>
    <m/>
    <m/>
    <m/>
    <m/>
    <m/>
    <m/>
    <m/>
    <s v="N"/>
    <m/>
  </r>
  <r>
    <s v="TSG_BLD_PF"/>
    <n v="313919281"/>
    <n v="1115345603"/>
    <s v="518878-B21"/>
    <s v="HP BL685c G7 CTO Blade"/>
    <n v="1"/>
    <s v="4GZT42066327"/>
    <d v="2015-01-16T12:09:42"/>
    <d v="2015-01-21T00:00:00"/>
    <d v="2015-01-18T16:06:07"/>
    <d v="2015-01-17T08:40:00"/>
    <d v="2015-01-17T15:02:21"/>
    <d v="2015-01-18T13:49:48"/>
    <n v="23.799999237060547"/>
    <n v="44.299999237060547"/>
    <x v="0"/>
    <m/>
    <m/>
    <m/>
    <m/>
    <m/>
    <m/>
    <m/>
    <m/>
    <m/>
    <s v="N"/>
    <m/>
  </r>
  <r>
    <s v="TSG_BLD_PF"/>
    <n v="313919278"/>
    <n v="1115345153"/>
    <s v="518878-B21"/>
    <s v="HP BL685c G7 CTO Blade"/>
    <n v="1"/>
    <s v="4GZT42066326"/>
    <d v="2015-01-16T12:09:45"/>
    <d v="2015-01-21T00:00:00"/>
    <d v="2015-01-18T11:53:04"/>
    <d v="2015-01-17T08:40:00"/>
    <d v="2015-01-17T13:52:24"/>
    <d v="2015-01-18T10:37:43"/>
    <n v="23.799999237060547"/>
    <n v="44.299999237060547"/>
    <x v="0"/>
    <m/>
    <m/>
    <m/>
    <m/>
    <m/>
    <m/>
    <m/>
    <m/>
    <m/>
    <s v="N"/>
    <m/>
  </r>
  <r>
    <s v="TSG_BLD_PF"/>
    <n v="313919277"/>
    <n v="1115348148"/>
    <s v="518878-B21"/>
    <s v="HP BL685c G7 CTO Blade"/>
    <n v="1"/>
    <s v="4GZT42066325"/>
    <d v="2015-01-16T12:09:42"/>
    <d v="2015-01-21T00:00:00"/>
    <d v="2015-01-18T11:53:03"/>
    <d v="2015-01-17T08:40:00"/>
    <d v="2015-01-17T15:40:42"/>
    <d v="2015-01-18T10:38:00"/>
    <n v="23.799999237060547"/>
    <n v="44.299999237060547"/>
    <x v="0"/>
    <m/>
    <m/>
    <m/>
    <m/>
    <m/>
    <m/>
    <m/>
    <m/>
    <m/>
    <s v="N"/>
    <m/>
  </r>
  <r>
    <s v="TSG_BLD_PF"/>
    <n v="313919274"/>
    <n v="1115347471"/>
    <s v="518878-B21"/>
    <s v="HP BL685c G7 CTO Blade"/>
    <n v="1"/>
    <s v="4GZT42066324"/>
    <d v="2015-01-16T12:09:42"/>
    <d v="2015-01-21T00:00:00"/>
    <d v="2015-01-18T11:53:03"/>
    <d v="2015-01-17T08:40:00"/>
    <d v="2015-01-17T15:43:21"/>
    <d v="2015-01-18T10:38:19"/>
    <n v="23.799999237060547"/>
    <n v="44.299999237060547"/>
    <x v="0"/>
    <m/>
    <m/>
    <m/>
    <m/>
    <m/>
    <m/>
    <m/>
    <m/>
    <m/>
    <s v="N"/>
    <m/>
  </r>
  <r>
    <s v="TSG_MLDL_PF"/>
    <n v="313920641"/>
    <n v="1115342773"/>
    <s v="769503-AA1"/>
    <s v="HP DL160 Gen9 E5-2603v3 LFF Ety CN Svr"/>
    <n v="5"/>
    <s v="4GZT42048653"/>
    <d v="2015-01-13T17:05:30"/>
    <d v="2015-01-16T00:00:00"/>
    <d v="2015-01-16T12:59:33"/>
    <d v="2015-01-14T17:15:00"/>
    <d v="2015-01-15T00:28:25"/>
    <d v="2015-01-16T09:47:37"/>
    <n v="40.5"/>
    <n v="67.900001525878906"/>
    <x v="2"/>
    <m/>
    <m/>
    <m/>
    <m/>
    <m/>
    <m/>
    <m/>
    <m/>
    <m/>
    <s v="N"/>
    <m/>
  </r>
  <r>
    <s v="TSG_MLDL_PF"/>
    <n v="313888732"/>
    <n v="1115296021"/>
    <s v="778453-AA1"/>
    <s v="HP DL180 Gen9 E5-2603v3 LFF Ety CN Svr"/>
    <n v="20"/>
    <s v="4GZT42048630"/>
    <d v="2015-01-13T17:07:29"/>
    <d v="2015-01-19T00:00:00"/>
    <d v="2015-01-16T22:16:42"/>
    <d v="2015-01-15T23:00:00"/>
    <d v="2015-01-15T07:07:27"/>
    <d v="2015-01-16T19:47:32"/>
    <n v="20.799999237060547"/>
    <n v="77.199996948242188"/>
    <x v="2"/>
    <m/>
    <m/>
    <m/>
    <m/>
    <m/>
    <m/>
    <m/>
    <m/>
    <m/>
    <s v="N"/>
    <m/>
  </r>
  <r>
    <s v="TSG_MLDL_PF"/>
    <n v="313863792"/>
    <n v="1115272291"/>
    <s v="L6B07A"/>
    <s v="HP DL360p HY Qih-F4 E5-2630v2 Spcl Svr"/>
    <n v="102"/>
    <s v="4GZT42048627"/>
    <d v="2015-01-13T17:18:31"/>
    <d v="2015-01-19T00:00:00"/>
    <d v="2015-01-16T18:35:38"/>
    <d v="2015-01-15T09:01:00"/>
    <d v="2015-01-15T15:41:08"/>
    <d v="2015-01-16T16:16:11"/>
    <n v="31.200000762939453"/>
    <n v="73.300003051757812"/>
    <x v="2"/>
    <m/>
    <m/>
    <m/>
    <m/>
    <m/>
    <m/>
    <m/>
    <m/>
    <m/>
    <s v="N"/>
    <m/>
  </r>
  <r>
    <s v="TSG_MLDL_PF"/>
    <n v="313905954"/>
    <n v="1115326539"/>
    <s v="744680-B21 #AKM"/>
    <s v="HP DL360p Gen8 Low Cost CTO Svr"/>
    <n v="40"/>
    <s v="4GZT42045583"/>
    <d v="2015-01-13T02:04:09"/>
    <d v="2015-01-19T00:00:00"/>
    <d v="2015-01-15T20:56:22"/>
    <d v="2015-01-14T12:50:00"/>
    <d v="2015-01-14T16:43:42"/>
    <d v="2015-01-15T19:05:49"/>
    <n v="30.299999237060547"/>
    <n v="60.400001525878906"/>
    <x v="0"/>
    <m/>
    <m/>
    <m/>
    <m/>
    <m/>
    <m/>
    <m/>
    <m/>
    <m/>
    <s v="Y"/>
    <m/>
  </r>
  <r>
    <s v="TSG_MLDL_PF"/>
    <n v="313919860"/>
    <n v="1115341407"/>
    <s v="726045-AA5"/>
    <s v="HP DL320eGen8v2 E3-1220v3 NHP CN Svr/Pro"/>
    <n v="5"/>
    <s v="4GZT42044068"/>
    <d v="2015-01-12T19:21:04"/>
    <d v="2015-01-15T00:00:00"/>
    <d v="2015-01-14T23:34:06"/>
    <d v="2015-01-13T21:00:00"/>
    <d v="2015-01-14T06:59:14"/>
    <d v="2015-01-14T21:46:30"/>
    <n v="24.799999237060547"/>
    <n v="39.099998474121094"/>
    <x v="0"/>
    <m/>
    <m/>
    <m/>
    <m/>
    <m/>
    <m/>
    <m/>
    <m/>
    <m/>
    <s v="N"/>
    <m/>
  </r>
  <r>
    <s v="TSG_MLDL_PF"/>
    <n v="313887985"/>
    <n v="1115294784"/>
    <s v="653200-B21 #AKM"/>
    <s v="HP DL380p Gen8 8-SFF CTO Server"/>
    <n v="4"/>
    <s v="4GZT42042684"/>
    <d v="2015-01-12T16:03:59"/>
    <d v="2015-01-16T00:00:00"/>
    <d v="2015-01-15T02:13:06"/>
    <d v="2015-01-13T15:30:00"/>
    <d v="2015-01-13T18:19:30"/>
    <d v="2015-01-15T00:19:37"/>
    <n v="32.799999237060547"/>
    <n v="41.700000762939453"/>
    <x v="0"/>
    <m/>
    <m/>
    <m/>
    <m/>
    <m/>
    <m/>
    <m/>
    <m/>
    <m/>
    <s v="N"/>
    <m/>
  </r>
  <r>
    <s v="TSG_MLDL_PF"/>
    <n v="313863777"/>
    <n v="1115272273"/>
    <s v="L6B06A"/>
    <s v="HP DL380p E5-2630v2 Qih-F5 Spcl Svr"/>
    <n v="29"/>
    <s v="4GZT42021743"/>
    <d v="2015-01-08T00:50:06"/>
    <d v="2015-01-14T00:00:00"/>
    <d v="2015-01-13T15:23:46"/>
    <d v="2015-01-08T14:01:00"/>
    <d v="2015-01-08T15:35:35"/>
    <d v="2015-01-09T15:50:19"/>
    <n v="25.799999237060547"/>
    <n v="86.599998474121094"/>
    <x v="2"/>
    <m/>
    <m/>
    <m/>
    <m/>
    <m/>
    <m/>
    <m/>
    <m/>
    <m/>
    <s v="N"/>
    <m/>
  </r>
  <r>
    <s v="TSG_MLDL_PF"/>
    <n v="313898218"/>
    <n v="1115306207"/>
    <s v="669253-B21 #AKM"/>
    <s v="HP DL380e Gen8 8SFF CTO Server"/>
    <n v="1"/>
    <s v="4GYT42045562"/>
    <d v="2015-01-13T01:56:09"/>
    <d v="2015-01-19T00:00:00"/>
    <d v="2015-01-16T05:23:25"/>
    <d v="2015-01-14T03:20:00"/>
    <d v="2015-01-14T10:19:58"/>
    <d v="2015-01-15T02:04:42"/>
    <n v="22.799999237060547"/>
    <n v="68.900001525878906"/>
    <x v="2"/>
    <m/>
    <m/>
    <m/>
    <m/>
    <m/>
    <m/>
    <m/>
    <m/>
    <m/>
    <s v="N"/>
    <s v="Y"/>
  </r>
  <r>
    <s v="TSG_MLDL_PF"/>
    <n v="313898218"/>
    <n v="1115306209"/>
    <s v="719064-B21 #AKM"/>
    <s v="HP DL380 Gen9 8SFF CTO Server"/>
    <n v="4"/>
    <s v="4GYT42045562"/>
    <d v="2015-01-13T01:56:10"/>
    <d v="2015-01-19T00:00:00"/>
    <d v="2015-01-16T05:23:25"/>
    <d v="2015-01-14T03:20:00"/>
    <d v="2015-01-14T10:04:54"/>
    <d v="2015-01-15T09:57:58"/>
    <n v="30.600000381469727"/>
    <n v="68.900001525878906"/>
    <x v="2"/>
    <m/>
    <m/>
    <m/>
    <m/>
    <m/>
    <m/>
    <m/>
    <m/>
    <m/>
    <s v="N"/>
    <s v="Y"/>
  </r>
  <r>
    <s v="TSG_MLDL_PF"/>
    <n v="313898218"/>
    <n v="1115306210"/>
    <s v="728551-B21 #AKM"/>
    <s v="HP DL580 Gen8 CTO Svr"/>
    <n v="5"/>
    <s v="4GYT42045562"/>
    <d v="2015-01-13T01:57:09"/>
    <d v="2015-01-19T00:00:00"/>
    <d v="2015-01-16T05:23:25"/>
    <d v="2015-01-14T11:30:00"/>
    <d v="2015-01-14T16:41:38"/>
    <d v="2015-01-15T12:35:53"/>
    <n v="25.100000381469727"/>
    <n v="68.900001525878906"/>
    <x v="2"/>
    <m/>
    <m/>
    <m/>
    <m/>
    <m/>
    <m/>
    <m/>
    <m/>
    <m/>
    <s v="N"/>
    <s v="Y"/>
  </r>
  <r>
    <s v="TSG_MLDL_PF"/>
    <n v="313898218"/>
    <n v="1115306211"/>
    <s v="728551-B21 #AKM"/>
    <s v="HP DL580 Gen8 CTO Svr"/>
    <n v="4"/>
    <s v="4GYT42045562"/>
    <d v="2015-01-13T01:57:17"/>
    <d v="2015-01-19T00:00:00"/>
    <d v="2015-01-16T05:23:25"/>
    <d v="2015-01-14T11:30:00"/>
    <d v="2015-01-14T16:07:36"/>
    <d v="2015-01-16T03:19:48"/>
    <n v="39.799999237060547"/>
    <n v="68.900001525878906"/>
    <x v="2"/>
    <m/>
    <m/>
    <m/>
    <m/>
    <m/>
    <m/>
    <m/>
    <m/>
    <m/>
    <s v="N"/>
    <s v="Y"/>
  </r>
  <r>
    <s v="TSG_ENCL_PF"/>
    <n v="313883892"/>
    <n v="1115294094"/>
    <s v="681840-B21"/>
    <s v="HP BLc7000 1PH 2PS 4Fan Trl IC Plat Encl"/>
    <n v="10"/>
    <s v="4GYT42045537"/>
    <d v="2015-01-13T01:48:16"/>
    <d v="2015-01-19T00:00:00"/>
    <d v="2015-01-17T12:26:51"/>
    <d v="2015-01-13T13:30:00"/>
    <d v="2015-01-13T14:25:10"/>
    <d v="2015-01-14T04:55:10"/>
    <n v="15.399999618530273"/>
    <n v="99.900001525878906"/>
    <x v="2"/>
    <m/>
    <m/>
    <m/>
    <m/>
    <m/>
    <m/>
    <m/>
    <m/>
    <m/>
    <s v="N"/>
    <s v="Y"/>
  </r>
  <r>
    <s v="TSG_BLD_PF"/>
    <n v="313883892"/>
    <n v="1115294089"/>
    <s v="518878-B21"/>
    <s v="HP BL685c G7 CTO Blade"/>
    <n v="35"/>
    <s v="4GYT42045537"/>
    <d v="2015-01-13T01:57:18"/>
    <d v="2015-01-19T00:00:00"/>
    <d v="2015-01-17T12:26:51"/>
    <d v="2015-01-13T13:30:00"/>
    <d v="2015-01-14T10:18:31"/>
    <d v="2015-01-16T12:29:23"/>
    <n v="71"/>
    <n v="99.900001525878906"/>
    <x v="1"/>
    <m/>
    <m/>
    <m/>
    <m/>
    <m/>
    <m/>
    <m/>
    <m/>
    <m/>
    <s v="N"/>
    <s v="Y"/>
  </r>
  <r>
    <s v="TSG_BLD_PF"/>
    <n v="313883892"/>
    <n v="1115294088"/>
    <s v="518878-B21"/>
    <s v="HP BL685c G7 CTO Blade"/>
    <n v="20"/>
    <s v="4GYT42045537"/>
    <d v="2015-01-13T01:53:17"/>
    <d v="2015-01-19T00:00:00"/>
    <d v="2015-01-17T12:26:51"/>
    <d v="2015-01-13T13:30:00"/>
    <d v="2015-01-14T09:05:03"/>
    <d v="2015-01-17T09:30:38"/>
    <n v="92"/>
    <n v="99.900001525878906"/>
    <x v="1"/>
    <m/>
    <m/>
    <m/>
    <m/>
    <m/>
    <m/>
    <m/>
    <m/>
    <m/>
    <s v="N"/>
    <s v="Y"/>
  </r>
  <r>
    <s v="TSG_MLDL_PF"/>
    <n v="313888747"/>
    <n v="1115296032"/>
    <s v="653200-B21 #AKM"/>
    <s v="HP DL380p Gen8 8-SFF CTO Server"/>
    <n v="2"/>
    <s v="4FZT42042692"/>
    <d v="2015-01-12T16:05:08"/>
    <d v="2015-01-16T00:00:00"/>
    <d v="2015-01-14T09:31:53"/>
    <d v="2015-01-13T15:30:00"/>
    <d v="2015-01-13T18:19:48"/>
    <d v="2015-01-14T06:08:08"/>
    <n v="14.600000381469727"/>
    <n v="25"/>
    <x v="0"/>
    <m/>
    <m/>
    <m/>
    <m/>
    <m/>
    <m/>
    <m/>
    <m/>
    <m/>
    <s v="N"/>
    <m/>
  </r>
  <r>
    <s v="TSG_MLDL_PF"/>
    <n v="313885354"/>
    <n v="1115290763"/>
    <s v="728551-B21 #AKM"/>
    <s v="HP DL580 Gen8 CTO Svr"/>
    <n v="2"/>
    <s v="4DLT42031843"/>
    <d v="2015-01-09T17:13:47"/>
    <d v="2015-01-14T00:00:00"/>
    <d v="2015-01-12T20:06:24"/>
    <d v="2015-01-10T09:30:00"/>
    <d v="2015-01-10T14:08:32"/>
    <d v="2015-01-12T10:12:46"/>
    <n v="23"/>
    <n v="39.299999237060547"/>
    <x v="0"/>
    <m/>
    <m/>
    <m/>
    <m/>
    <m/>
    <m/>
    <m/>
    <m/>
    <m/>
    <s v="N"/>
    <s v="Y"/>
  </r>
  <r>
    <s v="TSG_MLDL_PF"/>
    <n v="313885354"/>
    <n v="1115290764"/>
    <s v="755258-B21 #AKM"/>
    <s v="HP DL360 Gen9 8SFF CTO Server"/>
    <n v="10"/>
    <s v="4DLT42031843"/>
    <d v="2015-01-09T17:15:47"/>
    <d v="2015-01-14T00:00:00"/>
    <d v="2015-01-12T20:06:24"/>
    <d v="2015-01-10T09:30:00"/>
    <d v="2015-01-10T13:11:49"/>
    <d v="2015-01-12T16:53:58"/>
    <n v="23"/>
    <n v="39.200000762939453"/>
    <x v="0"/>
    <m/>
    <m/>
    <m/>
    <m/>
    <m/>
    <m/>
    <m/>
    <m/>
    <m/>
    <s v="N"/>
    <s v="Y"/>
  </r>
  <r>
    <s v="TSG_MLDL_PF"/>
    <n v="313907689"/>
    <n v="1115320200"/>
    <s v="665554-B21 #AKM"/>
    <s v="HP DL380p Gen8 25-SFF CTO Server"/>
    <n v="1"/>
    <s v="4DGT42042738"/>
    <d v="2015-01-12T16:19:59"/>
    <d v="2015-01-16T00:00:00"/>
    <d v="2015-01-15T10:51:15"/>
    <d v="2015-01-13T15:30:00"/>
    <d v="2015-01-13T19:30:07"/>
    <d v="2015-01-15T09:16:01"/>
    <n v="41.799999237060547"/>
    <n v="50.299999237060547"/>
    <x v="0"/>
    <m/>
    <m/>
    <m/>
    <m/>
    <m/>
    <m/>
    <m/>
    <m/>
    <m/>
    <s v="Y"/>
    <m/>
  </r>
  <r>
    <s v="TSG_MLDL_PF"/>
    <n v="313863767"/>
    <n v="1115272267"/>
    <s v="L6B06A"/>
    <s v="HP DL380p E5-2630v2 Qih-F5 Spcl Svr"/>
    <n v="8"/>
    <s v="4D4T42021742"/>
    <d v="2015-01-08T00:47:55"/>
    <d v="2015-01-14T00:00:00"/>
    <d v="2015-01-13T15:23:46"/>
    <d v="2015-01-08T14:01:00"/>
    <d v="2015-01-08T16:29:06"/>
    <d v="2015-01-09T14:03:59"/>
    <n v="24"/>
    <n v="86.599998474121094"/>
    <x v="2"/>
    <m/>
    <m/>
    <m/>
    <m/>
    <m/>
    <m/>
    <m/>
    <m/>
    <m/>
    <s v="N"/>
    <m/>
  </r>
  <r>
    <s v="TSG_MLDL_PF"/>
    <n v="313936680"/>
    <n v="1115366609"/>
    <s v="712318-AA1"/>
    <s v="HP MicroSvr Gen8 G2020T Base NHP CN Svr"/>
    <n v="1"/>
    <s v="4CZT42062246"/>
    <d v="2015-01-15T19:53:31"/>
    <d v="2015-01-20T00:00:00"/>
    <d v="2015-01-18T04:34:00"/>
    <d v="2015-01-17T08:40:00"/>
    <d v="2015-01-17T13:31:27"/>
    <d v="2015-01-18T02:39:42"/>
    <n v="18"/>
    <n v="56.700000762939453"/>
    <x v="0"/>
    <m/>
    <m/>
    <m/>
    <m/>
    <m/>
    <m/>
    <m/>
    <m/>
    <m/>
    <s v="N"/>
    <m/>
  </r>
  <r>
    <s v="TSG_MLDL_PF"/>
    <n v="313863773"/>
    <n v="1115272271"/>
    <s v="L6B06A"/>
    <s v="HP DL380p E5-2630v2 Qih-F5 Spcl Svr"/>
    <n v="4"/>
    <s v="4CZT41949415"/>
    <d v="2014-12-25T19:07:56"/>
    <d v="2014-12-30T00:00:00"/>
    <d v="2015-01-13T22:32:46"/>
    <d v="2014-12-26T02:39:00"/>
    <d v="2014-12-26T05:51:49"/>
    <d v="2014-12-27T14:13:54"/>
    <n v="35.599998474121094"/>
    <n v="315.39999389648437"/>
    <x v="2"/>
    <m/>
    <m/>
    <m/>
    <m/>
    <m/>
    <m/>
    <m/>
    <m/>
    <m/>
    <s v="N"/>
    <m/>
  </r>
  <r>
    <s v="TSG_MLDL_PF"/>
    <n v="313885474"/>
    <n v="1115291539"/>
    <s v="703586-B21 #AKM"/>
    <s v="HP DL580R07 CN CTO Server"/>
    <n v="37"/>
    <s v="4CQT42045543"/>
    <d v="2015-01-13T02:03:09"/>
    <d v="2015-01-19T00:00:00"/>
    <d v="2015-01-16T22:16:42"/>
    <d v="2015-01-14T17:15:00"/>
    <d v="2015-01-14T22:32:18"/>
    <d v="2015-01-16T19:38:11"/>
    <n v="50.400001525878906"/>
    <n v="85.800003051757812"/>
    <x v="1"/>
    <m/>
    <m/>
    <m/>
    <m/>
    <m/>
    <m/>
    <m/>
    <m/>
    <m/>
    <s v="N"/>
    <m/>
  </r>
  <r>
    <s v="TSG_MLDL_PF"/>
    <n v="313919859"/>
    <n v="1115341406"/>
    <s v="726045-AA5"/>
    <s v="HP DL320eGen8v2 E3-1220v3 NHP CN Svr/Pro"/>
    <n v="10"/>
    <s v="4CDT42048636"/>
    <d v="2015-01-13T17:05:30"/>
    <d v="2015-01-16T00:00:00"/>
    <d v="2015-01-15T19:37:19"/>
    <d v="2015-01-14T17:15:00"/>
    <d v="2015-01-14T21:19:13"/>
    <d v="2015-01-15T18:15:35"/>
    <n v="25"/>
    <n v="50.5"/>
    <x v="0"/>
    <m/>
    <m/>
    <m/>
    <m/>
    <m/>
    <m/>
    <m/>
    <m/>
    <m/>
    <s v="N"/>
    <m/>
  </r>
  <r>
    <s v="TSG_MLDL_PF"/>
    <n v="313908304"/>
    <n v="1115322229"/>
    <s v="728551-B21 #AKM"/>
    <s v="HP DL580 Gen8 CTO Svr"/>
    <n v="5"/>
    <s v="4CDT42046895"/>
    <d v="2015-01-13T10:40:18"/>
    <d v="2015-01-16T00:00:00"/>
    <d v="2015-01-16T22:16:42"/>
    <d v="2015-01-15T18:18:00"/>
    <d v="2015-01-16T03:44:46"/>
    <d v="2015-01-16T20:00:12"/>
    <n v="25.700000762939453"/>
    <n v="83.599998474121094"/>
    <x v="2"/>
    <m/>
    <m/>
    <m/>
    <m/>
    <m/>
    <m/>
    <m/>
    <m/>
    <m/>
    <s v="N"/>
    <m/>
  </r>
  <r>
    <s v="TSG_MLDL_PF"/>
    <n v="313909910"/>
    <n v="1115325426"/>
    <s v="728551-B21 #AKM"/>
    <s v="HP DL580 Gen8 CTO Svr"/>
    <n v="1"/>
    <s v="4CDT42045584"/>
    <d v="2015-01-13T01:56:09"/>
    <d v="2015-01-19T00:00:00"/>
    <d v="2015-01-15T08:12:11"/>
    <d v="2015-01-14T11:30:00"/>
    <d v="2015-01-14T15:05:23"/>
    <d v="2015-01-15T06:29:14"/>
    <n v="19"/>
    <n v="47.700000762939453"/>
    <x v="0"/>
    <m/>
    <m/>
    <m/>
    <m/>
    <m/>
    <m/>
    <m/>
    <m/>
    <m/>
    <s v="N"/>
    <m/>
  </r>
  <r>
    <s v="TSG_MLDL_PF"/>
    <n v="313898231"/>
    <n v="1115309645"/>
    <s v="653200-B21 #AKM"/>
    <s v="HP DL380p Gen8 8-SFF CTO Server"/>
    <n v="2"/>
    <s v="4CDT42045563"/>
    <d v="2015-01-13T01:58:09"/>
    <d v="2015-01-19T00:00:00"/>
    <d v="2015-01-15T08:12:12"/>
    <d v="2015-01-14T03:20:00"/>
    <d v="2015-01-14T10:51:16"/>
    <d v="2015-01-15T06:23:54"/>
    <n v="27.100000381469727"/>
    <n v="47.700000762939453"/>
    <x v="0"/>
    <m/>
    <m/>
    <m/>
    <m/>
    <m/>
    <m/>
    <m/>
    <m/>
    <m/>
    <s v="N"/>
    <m/>
  </r>
  <r>
    <s v="TSG_MLDL_PF"/>
    <n v="313936188"/>
    <n v="1115366440"/>
    <s v="719064-B21 #AKM"/>
    <s v="HP DL380 Gen9 8SFF CTO Server"/>
    <n v="1"/>
    <s v="4CCT42069997"/>
    <d v="2015-01-16T18:40:52"/>
    <d v="2015-01-21T00:00:00"/>
    <d v="2015-01-18T19:47:08"/>
    <d v="2015-01-17T15:00:00"/>
    <d v="2015-01-17T16:21:00"/>
    <d v="2015-01-18T16:40:56"/>
    <n v="17.5"/>
    <n v="37.799999237060547"/>
    <x v="0"/>
    <m/>
    <m/>
    <m/>
    <m/>
    <m/>
    <m/>
    <m/>
    <m/>
    <m/>
    <s v="N"/>
    <m/>
  </r>
  <r>
    <s v="TSG_MLDL_PF"/>
    <n v="313888358"/>
    <n v="1115295450"/>
    <s v="653200-B21 #AKM"/>
    <s v="HP DL380p Gen8 8-SFF CTO Server"/>
    <n v="3"/>
    <s v="4CCT42051027"/>
    <d v="2015-01-14T01:45:38"/>
    <d v="2015-01-20T00:00:00"/>
    <d v="2015-01-17T03:50:42"/>
    <d v="2015-01-15T23:03:00"/>
    <d v="2015-01-16T09:07:02"/>
    <d v="2015-01-17T01:02:51"/>
    <n v="26"/>
    <n v="74.099998474121094"/>
    <x v="2"/>
    <m/>
    <m/>
    <m/>
    <m/>
    <m/>
    <m/>
    <m/>
    <m/>
    <m/>
    <s v="N"/>
    <m/>
  </r>
  <r>
    <s v="TSG_MLDL_PF"/>
    <n v="313887997"/>
    <n v="1115294806"/>
    <s v="653200-B21 #AKM"/>
    <s v="HP DL380p Gen8 8-SFF CTO Server"/>
    <n v="10"/>
    <s v="4CAT42053133"/>
    <d v="2015-01-14T13:27:51"/>
    <d v="2015-01-20T00:00:00"/>
    <d v="2015-01-17T08:43:45"/>
    <d v="2015-01-15T23:03:00"/>
    <d v="2015-01-16T06:38:14"/>
    <d v="2015-01-17T07:06:12"/>
    <n v="32"/>
    <n v="67.300003051757813"/>
    <x v="2"/>
    <m/>
    <m/>
    <m/>
    <m/>
    <m/>
    <m/>
    <m/>
    <m/>
    <m/>
    <s v="N"/>
    <m/>
  </r>
  <r>
    <s v="TSG_MLDL_PF"/>
    <n v="313881165"/>
    <n v="1115285210"/>
    <s v="653200-B21 #AKM"/>
    <s v="HP DL380p Gen8 8-SFF CTO Server"/>
    <n v="5"/>
    <s v="4CAT42045515"/>
    <d v="2015-01-13T01:44:09"/>
    <d v="2015-01-19T00:00:00"/>
    <d v="2015-01-15T09:31:10"/>
    <d v="2015-01-14T03:20:00"/>
    <d v="2015-01-14T10:30:47"/>
    <d v="2015-01-15T06:54:17"/>
    <n v="27.600000381469727"/>
    <n v="49"/>
    <x v="0"/>
    <m/>
    <m/>
    <m/>
    <m/>
    <m/>
    <m/>
    <m/>
    <m/>
    <m/>
    <s v="N"/>
    <m/>
  </r>
  <r>
    <s v="TSG_MLDL_PF"/>
    <n v="313881165"/>
    <n v="1115285202"/>
    <s v="653200-B21 #AKM"/>
    <s v="HP DL380p Gen8 8-SFF CTO Server"/>
    <n v="4"/>
    <s v="4CAT42045514"/>
    <d v="2015-01-13T01:44:09"/>
    <d v="2015-01-19T00:00:00"/>
    <d v="2015-01-15T03:32:07"/>
    <d v="2015-01-14T03:20:00"/>
    <d v="2015-01-14T10:42:51"/>
    <d v="2015-01-15T01:57:22"/>
    <n v="22.600000381469727"/>
    <n v="43"/>
    <x v="0"/>
    <m/>
    <m/>
    <m/>
    <m/>
    <m/>
    <m/>
    <m/>
    <m/>
    <m/>
    <s v="N"/>
    <m/>
  </r>
  <r>
    <s v="TSG_MLDL_PF"/>
    <n v="313877499"/>
    <n v="1115285283"/>
    <s v="728551-B21 #AKM"/>
    <s v="HP DL580 Gen8 CTO Svr"/>
    <n v="1"/>
    <s v="4CAT42023957"/>
    <d v="2015-01-08T13:18:15"/>
    <d v="2015-01-13T00:00:00"/>
    <d v="2015-01-12T14:01:16"/>
    <d v="2015-01-08T20:45:00"/>
    <d v="2015-01-09T00:25:43"/>
    <d v="2015-01-09T12:53:10"/>
    <n v="16.100000381469727"/>
    <n v="67.199996948242187"/>
    <x v="2"/>
    <m/>
    <m/>
    <m/>
    <m/>
    <m/>
    <m/>
    <m/>
    <m/>
    <m/>
    <s v="N"/>
    <s v="Y"/>
  </r>
  <r>
    <s v="TSG_MLDL_PF"/>
    <n v="313877499"/>
    <n v="1115285282"/>
    <s v="661189-B21 #AKM"/>
    <s v="HP DL360e Gen8 8SFF CTO Server"/>
    <n v="15"/>
    <s v="4CAT42023957"/>
    <d v="2015-01-08T13:19:07"/>
    <d v="2015-01-13T00:00:00"/>
    <d v="2015-01-12T14:01:16"/>
    <d v="2015-01-08T20:45:00"/>
    <d v="2015-01-09T00:02:56"/>
    <d v="2015-01-12T12:01:00"/>
    <n v="59.799999237060547"/>
    <n v="67.199996948242187"/>
    <x v="1"/>
    <m/>
    <m/>
    <m/>
    <m/>
    <m/>
    <m/>
    <m/>
    <m/>
    <m/>
    <s v="N"/>
    <s v="Y"/>
  </r>
  <r>
    <s v="TSG_MLDL_PF"/>
    <n v="313888368"/>
    <n v="1115295464"/>
    <s v="653200-B21 #AKM"/>
    <s v="HP DL380p Gen8 8-SFF CTO Server"/>
    <n v="2"/>
    <s v="4C2T42042691"/>
    <d v="2015-01-12T16:04:59"/>
    <d v="2015-01-16T00:00:00"/>
    <d v="2015-01-14T09:31:53"/>
    <d v="2015-01-13T15:30:00"/>
    <d v="2015-01-13T18:43:05"/>
    <d v="2015-01-14T06:49:03"/>
    <n v="15.300000190734863"/>
    <n v="25"/>
    <x v="0"/>
    <m/>
    <m/>
    <m/>
    <m/>
    <m/>
    <m/>
    <m/>
    <m/>
    <m/>
    <s v="N"/>
    <m/>
  </r>
  <r>
    <s v="TSG_MLDL_PF"/>
    <n v="313929517"/>
    <n v="1115353284"/>
    <s v="652065-B21 #AKM"/>
    <s v="HP ML350pT08 SFF CTO Server"/>
    <n v="1"/>
    <s v="4BJT42069226"/>
    <d v="2015-01-16T16:47:49"/>
    <d v="2015-01-20T00:00:00"/>
    <d v="2015-01-18T19:47:08"/>
    <d v="2015-01-17T15:00:00"/>
    <d v="2015-01-17T16:46:23"/>
    <d v="2015-01-18T16:48:56"/>
    <n v="17.5"/>
    <n v="39.700000762939453"/>
    <x v="0"/>
    <m/>
    <m/>
    <m/>
    <m/>
    <m/>
    <m/>
    <m/>
    <m/>
    <m/>
    <s v="N"/>
    <m/>
  </r>
  <r>
    <s v="TSG_MLDL_PF"/>
    <n v="313931938"/>
    <n v="1115358508"/>
    <s v="734020-AA1"/>
    <s v="HP DL388p Gen8 IB E5-2609v2 CN Svr"/>
    <n v="15"/>
    <s v="4BJT42062672"/>
    <d v="2015-01-15T22:13:31"/>
    <d v="2015-01-20T00:00:00"/>
    <d v="2015-01-18T05:53:00"/>
    <d v="2015-01-17T08:40:00"/>
    <d v="2015-01-17T12:06:46"/>
    <d v="2015-01-18T04:07:52"/>
    <n v="19.5"/>
    <n v="55.700000762939453"/>
    <x v="0"/>
    <m/>
    <m/>
    <m/>
    <m/>
    <m/>
    <m/>
    <m/>
    <m/>
    <m/>
    <s v="N"/>
    <m/>
  </r>
  <r>
    <s v="TSG_MLDL_PF"/>
    <n v="313932631"/>
    <n v="1115359858"/>
    <s v="665553-B21 #AKM"/>
    <s v="HP DL380p Gen8 8-LFF CTO Server"/>
    <n v="4"/>
    <s v="4BJT42061927"/>
    <d v="2015-01-15T18:39:28"/>
    <d v="2015-01-21T00:00:00"/>
    <d v="2015-01-18T16:06:07"/>
    <d v="2015-01-17T11:30:00"/>
    <d v="2015-01-17T15:31:03"/>
    <d v="2015-01-18T13:42:19"/>
    <n v="21"/>
    <n v="61.799999237060547"/>
    <x v="2"/>
    <m/>
    <m/>
    <m/>
    <m/>
    <m/>
    <m/>
    <m/>
    <m/>
    <m/>
    <s v="N"/>
    <m/>
  </r>
  <r>
    <s v="TSG_ENCL_PF"/>
    <n v="313932309"/>
    <n v="1115358955"/>
    <s v="681844-B21"/>
    <s v="HP BLc7000 CTO 3 IN LCD Plat Enclosure"/>
    <n v="2"/>
    <s v="4BJT42061926"/>
    <d v="2015-01-15T18:38:26"/>
    <d v="2015-01-20T00:00:00"/>
    <d v="2015-01-17T14:01:53"/>
    <d v="2015-01-16T11:00:00"/>
    <d v="2015-01-16T13:03:52"/>
    <d v="2015-01-17T12:38:52"/>
    <n v="25.600000381469727"/>
    <n v="43.400001525878906"/>
    <x v="0"/>
    <m/>
    <m/>
    <m/>
    <m/>
    <m/>
    <m/>
    <m/>
    <m/>
    <m/>
    <s v="N"/>
    <m/>
  </r>
  <r>
    <s v="TSG_MLDL_PF"/>
    <n v="313888426"/>
    <n v="1115294368"/>
    <s v="653200-B21 #AKM"/>
    <s v="HP DL380p Gen8 8-SFF CTO Server"/>
    <n v="120"/>
    <s v="4BJT42059206"/>
    <d v="2015-01-15T12:08:19"/>
    <d v="2015-01-20T00:00:00"/>
    <d v="2015-01-18T09:47:06"/>
    <d v="2015-01-16T14:30:00"/>
    <d v="2015-01-16T16:58:02"/>
    <d v="2015-01-18T06:29:00"/>
    <n v="40"/>
    <n v="68.400001525878906"/>
    <x v="2"/>
    <m/>
    <m/>
    <m/>
    <m/>
    <m/>
    <m/>
    <m/>
    <m/>
    <m/>
    <s v="N"/>
    <m/>
  </r>
  <r>
    <s v="TSG_MLDL_PF"/>
    <n v="313888426"/>
    <n v="1115294369"/>
    <s v="653200-B21 #AKM"/>
    <s v="HP DL380p Gen8 8-SFF CTO Server"/>
    <n v="50"/>
    <s v="4BJT42058653"/>
    <d v="2015-01-15T09:39:14"/>
    <d v="2015-01-20T00:00:00"/>
    <d v="2015-01-17T23:31:57"/>
    <d v="2015-01-16T14:30:00"/>
    <d v="2015-01-16T15:26:39"/>
    <d v="2015-01-17T22:13:44"/>
    <n v="31.700000762939453"/>
    <n v="61.900001525878906"/>
    <x v="2"/>
    <m/>
    <m/>
    <m/>
    <m/>
    <m/>
    <m/>
    <m/>
    <m/>
    <m/>
    <s v="N"/>
    <m/>
  </r>
  <r>
    <s v="TSG_MLDL_PF"/>
    <n v="313881695"/>
    <n v="1115287533"/>
    <s v="728551-B21 #AKM"/>
    <s v="HP DL580 Gen8 CTO Svr"/>
    <n v="6"/>
    <s v="4BJT42058651"/>
    <d v="2015-01-15T09:34:14"/>
    <d v="2015-01-20T00:00:00"/>
    <d v="2015-01-18T09:31:01"/>
    <d v="2015-01-16T13:10:00"/>
    <d v="2015-01-16T16:40:30"/>
    <d v="2015-01-18T06:41:09"/>
    <n v="41.5"/>
    <n v="70.900001525878906"/>
    <x v="2"/>
    <m/>
    <m/>
    <m/>
    <m/>
    <m/>
    <m/>
    <m/>
    <m/>
    <m/>
    <s v="N"/>
    <m/>
  </r>
  <r>
    <s v="TSG_MLDL_PF"/>
    <n v="313919651"/>
    <n v="1115339906"/>
    <s v="653200-B21 #AKM"/>
    <s v="HP DL380p Gen8 8-SFF CTO Server"/>
    <n v="1"/>
    <s v="4BJT42057699"/>
    <d v="2015-01-15T02:18:06"/>
    <d v="2015-01-21T00:00:00"/>
    <d v="2015-01-17T06:13:43"/>
    <d v="2015-01-16T03:20:00"/>
    <d v="2015-01-16T12:00:14"/>
    <d v="2015-01-17T00:25:05"/>
    <n v="21.100000381469727"/>
    <n v="51.900001525878906"/>
    <x v="0"/>
    <m/>
    <m/>
    <m/>
    <m/>
    <m/>
    <m/>
    <m/>
    <m/>
    <m/>
    <s v="N"/>
    <s v="Y"/>
  </r>
  <r>
    <s v="TSG_MLDL_PF"/>
    <n v="313919651"/>
    <n v="1115339908"/>
    <s v="653200-B21 #AKM"/>
    <s v="HP DL380p Gen8 8-SFF CTO Server"/>
    <n v="1"/>
    <s v="4BJT42057699"/>
    <d v="2015-01-15T02:18:06"/>
    <d v="2015-01-21T00:00:00"/>
    <d v="2015-01-17T06:13:43"/>
    <d v="2015-01-16T03:20:00"/>
    <d v="2015-01-16T11:57:54"/>
    <d v="2015-01-17T01:47:02"/>
    <n v="22.5"/>
    <n v="51.900001525878906"/>
    <x v="0"/>
    <m/>
    <m/>
    <m/>
    <m/>
    <m/>
    <m/>
    <m/>
    <m/>
    <m/>
    <s v="N"/>
    <s v="Y"/>
  </r>
  <r>
    <s v="TSG_MLDL_PF"/>
    <n v="313919651"/>
    <n v="1115339910"/>
    <s v="653200-B21 #AKM"/>
    <s v="HP DL380p Gen8 8-SFF CTO Server"/>
    <n v="1"/>
    <s v="4BJT42057699"/>
    <d v="2015-01-15T02:18:06"/>
    <d v="2015-01-21T00:00:00"/>
    <d v="2015-01-17T06:13:43"/>
    <d v="2015-01-16T03:20:00"/>
    <d v="2015-01-16T09:53:42"/>
    <d v="2015-01-17T03:33:34"/>
    <n v="24.200000762939453"/>
    <n v="51.900001525878906"/>
    <x v="0"/>
    <m/>
    <m/>
    <m/>
    <m/>
    <m/>
    <m/>
    <m/>
    <m/>
    <m/>
    <s v="N"/>
    <s v="Y"/>
  </r>
  <r>
    <s v="TSG_BLD_PF"/>
    <n v="313915178"/>
    <n v="1115336416"/>
    <s v="735151-B21"/>
    <s v="HP BL460c Gen8 E5-v2 10/20Gb CTO Blade"/>
    <n v="2"/>
    <s v="4BJT42057673"/>
    <d v="2015-01-15T02:04:06"/>
    <d v="2015-01-21T00:00:00"/>
    <d v="2015-01-16T17:15:34"/>
    <d v="2015-01-15T15:30:00"/>
    <d v="2015-01-15T16:57:04"/>
    <d v="2015-01-16T12:09:10"/>
    <n v="20.600000381469727"/>
    <n v="39.200000762939453"/>
    <x v="0"/>
    <m/>
    <m/>
    <m/>
    <m/>
    <m/>
    <m/>
    <m/>
    <m/>
    <m/>
    <s v="N"/>
    <s v="Y"/>
  </r>
  <r>
    <s v="TSG_BLD_PF"/>
    <n v="313915178"/>
    <n v="1115336417"/>
    <s v="735151-B21"/>
    <s v="HP BL460c Gen8 E5-v2 10/20Gb CTO Blade"/>
    <n v="4"/>
    <s v="4BJT42057673"/>
    <d v="2015-01-15T02:04:06"/>
    <d v="2015-01-21T00:00:00"/>
    <d v="2015-01-16T17:15:34"/>
    <d v="2015-01-15T15:30:00"/>
    <d v="2015-01-15T17:54:27"/>
    <d v="2015-01-16T12:08:55"/>
    <n v="20.600000381469727"/>
    <n v="39.200000762939453"/>
    <x v="0"/>
    <m/>
    <m/>
    <m/>
    <m/>
    <m/>
    <m/>
    <m/>
    <m/>
    <m/>
    <s v="N"/>
    <s v="Y"/>
  </r>
  <r>
    <s v="TSG_BLD_PF"/>
    <n v="313914056"/>
    <n v="1115333892"/>
    <s v="735151-B21"/>
    <s v="HP BL460c Gen8 E5-v2 10/20Gb CTO Blade"/>
    <n v="16"/>
    <s v="4BJT42057667"/>
    <d v="2015-01-15T02:05:06"/>
    <d v="2015-01-21T00:00:00"/>
    <d v="2015-01-16T22:16:46"/>
    <d v="2015-01-15T15:30:00"/>
    <d v="2015-01-15T18:03:39"/>
    <d v="2015-01-16T20:14:17"/>
    <n v="28.700000762939453"/>
    <n v="44.200000762939453"/>
    <x v="0"/>
    <m/>
    <m/>
    <m/>
    <m/>
    <m/>
    <m/>
    <m/>
    <m/>
    <m/>
    <s v="N"/>
    <m/>
  </r>
  <r>
    <s v="TSG_MLDL_PF"/>
    <n v="313904120"/>
    <n v="1115316058"/>
    <s v="653200-B21 #AKM"/>
    <s v="HP DL380p Gen8 8-SFF CTO Server"/>
    <n v="1"/>
    <s v="4BJT42057663"/>
    <d v="2015-01-15T02:03:06"/>
    <d v="2015-01-21T00:00:00"/>
    <d v="2015-01-18T19:47:08"/>
    <d v="2015-01-16T03:20:00"/>
    <d v="2015-01-16T09:47:21"/>
    <d v="2015-01-17T00:50:53"/>
    <n v="21.5"/>
    <n v="78.400001525878906"/>
    <x v="2"/>
    <m/>
    <m/>
    <m/>
    <m/>
    <m/>
    <m/>
    <m/>
    <m/>
    <m/>
    <s v="N"/>
    <s v="Y"/>
  </r>
  <r>
    <s v="TSG_MLDL_PF"/>
    <n v="313904120"/>
    <n v="1115316060"/>
    <s v="722446-B21 #AKM"/>
    <s v="HP ML310e Gen8 v2 4LFF CTO Svr"/>
    <n v="1"/>
    <s v="4BJT42057663"/>
    <d v="2015-01-15T02:02:07"/>
    <d v="2015-01-21T00:00:00"/>
    <d v="2015-01-18T19:47:08"/>
    <d v="2015-01-16T03:20:00"/>
    <d v="2015-01-16T09:31:23"/>
    <d v="2015-01-17T16:52:25"/>
    <n v="37.5"/>
    <n v="78.5"/>
    <x v="2"/>
    <m/>
    <m/>
    <m/>
    <m/>
    <m/>
    <m/>
    <m/>
    <m/>
    <m/>
    <s v="N"/>
    <s v="Y"/>
  </r>
  <r>
    <s v="TSG_MLDL_PF"/>
    <n v="313904120"/>
    <n v="1115316059"/>
    <s v="666282-B21 #AKM"/>
    <s v="HP DL160 Gen8 LFF CTO Server"/>
    <n v="4"/>
    <s v="4BJT42057663"/>
    <d v="2015-01-15T02:03:07"/>
    <d v="2015-01-21T00:00:00"/>
    <d v="2015-01-18T19:47:08"/>
    <d v="2015-01-16T10:02:00"/>
    <d v="2015-01-16T16:09:33"/>
    <d v="2015-01-18T03:21:24"/>
    <n v="41.299999237060547"/>
    <n v="78.400001525878906"/>
    <x v="2"/>
    <m/>
    <m/>
    <m/>
    <m/>
    <m/>
    <m/>
    <m/>
    <m/>
    <m/>
    <s v="N"/>
    <s v="Y"/>
  </r>
  <r>
    <s v="TSG_MLDL_PF"/>
    <n v="313904120"/>
    <n v="1115316053"/>
    <s v="653200-B21 #AKM"/>
    <s v="HP DL380p Gen8 8-SFF CTO Server"/>
    <n v="1"/>
    <s v="4BJT42057663"/>
    <d v="2015-01-15T02:02:06"/>
    <d v="2015-01-21T00:00:00"/>
    <d v="2015-01-18T19:47:08"/>
    <d v="2015-01-17T11:30:00"/>
    <d v="2015-01-17T15:46:57"/>
    <d v="2015-01-18T08:02:53"/>
    <n v="20.5"/>
    <n v="78.5"/>
    <x v="2"/>
    <m/>
    <m/>
    <m/>
    <m/>
    <m/>
    <m/>
    <m/>
    <m/>
    <m/>
    <s v="N"/>
    <s v="Y"/>
  </r>
  <r>
    <s v="TSG_MLDL_PF"/>
    <n v="313904120"/>
    <n v="1115316057"/>
    <s v="722446-B21 #AKM"/>
    <s v="HP ML310e Gen8 v2 4LFF CTO Svr"/>
    <n v="1"/>
    <s v="4BJT42057663"/>
    <d v="2015-01-15T02:02:07"/>
    <d v="2015-01-21T00:00:00"/>
    <d v="2015-01-18T19:47:08"/>
    <d v="2015-01-16T03:20:00"/>
    <d v="2015-01-16T09:41:38"/>
    <d v="2015-01-18T17:42:58"/>
    <n v="53.200000762939453"/>
    <n v="78.5"/>
    <x v="1"/>
    <m/>
    <m/>
    <m/>
    <m/>
    <m/>
    <m/>
    <m/>
    <m/>
    <m/>
    <s v="N"/>
    <s v="Y"/>
  </r>
  <r>
    <s v="TSG_MLDL_PF"/>
    <n v="313914056"/>
    <n v="1115333882"/>
    <s v="653200-B21 #AKM"/>
    <s v="HP DL380p Gen8 8-SFF CTO Server"/>
    <n v="30"/>
    <s v="4BJT42054302"/>
    <d v="2015-01-14T16:47:25"/>
    <d v="2015-01-20T00:00:00"/>
    <d v="2015-01-17T19:49:55"/>
    <d v="2015-01-16T03:20:00"/>
    <d v="2015-01-16T12:06:56"/>
    <d v="2015-01-17T17:51:47"/>
    <n v="38.5"/>
    <n v="75"/>
    <x v="2"/>
    <m/>
    <m/>
    <m/>
    <m/>
    <m/>
    <m/>
    <m/>
    <m/>
    <m/>
    <s v="N"/>
    <m/>
  </r>
  <r>
    <s v="TSG_MLDL_PF"/>
    <n v="313912798"/>
    <n v="1115331049"/>
    <s v="653200-B21 #AKM"/>
    <s v="HP DL380p Gen8 8-SFF CTO Server"/>
    <n v="28"/>
    <s v="4BJT42051063"/>
    <d v="2015-01-14T02:00:39"/>
    <d v="2015-01-20T00:00:00"/>
    <d v="2015-01-17T06:13:43"/>
    <d v="2015-01-15T23:03:00"/>
    <d v="2015-01-16T06:37:47"/>
    <d v="2015-01-17T04:11:18"/>
    <n v="29.100000381469727"/>
    <n v="76.199996948242188"/>
    <x v="2"/>
    <m/>
    <m/>
    <m/>
    <m/>
    <m/>
    <m/>
    <m/>
    <m/>
    <m/>
    <s v="N"/>
    <m/>
  </r>
  <r>
    <s v="TSG_MLDL_PF"/>
    <n v="313912797"/>
    <n v="1115331050"/>
    <s v="653200-B21 #AKM"/>
    <s v="HP DL380p Gen8 8-SFF CTO Server"/>
    <n v="2"/>
    <s v="4BJT42051062"/>
    <d v="2015-01-14T01:53:39"/>
    <d v="2015-01-20T00:00:00"/>
    <d v="2015-01-17T04:22:44"/>
    <d v="2015-01-15T23:03:00"/>
    <d v="2015-01-16T08:33:21"/>
    <d v="2015-01-17T01:02:34"/>
    <n v="26"/>
    <n v="74.5"/>
    <x v="2"/>
    <m/>
    <m/>
    <m/>
    <m/>
    <m/>
    <m/>
    <m/>
    <m/>
    <m/>
    <s v="N"/>
    <s v="Y"/>
  </r>
  <r>
    <s v="TSG_MLDL_PF"/>
    <n v="313912797"/>
    <n v="1115331051"/>
    <s v="653200-B21 #AKM"/>
    <s v="HP DL380p Gen8 8-SFF CTO Server"/>
    <n v="4"/>
    <s v="4BJT42051062"/>
    <d v="2015-01-14T01:54:39"/>
    <d v="2015-01-20T00:00:00"/>
    <d v="2015-01-17T04:22:44"/>
    <d v="2015-01-15T23:03:00"/>
    <d v="2015-01-16T09:00:43"/>
    <d v="2015-01-17T00:58:35"/>
    <n v="25.899999618530273"/>
    <n v="74.5"/>
    <x v="2"/>
    <m/>
    <m/>
    <m/>
    <m/>
    <m/>
    <m/>
    <m/>
    <m/>
    <m/>
    <s v="N"/>
    <s v="Y"/>
  </r>
  <r>
    <s v="TSG_MLDL_PF"/>
    <n v="313912797"/>
    <n v="1115331052"/>
    <s v="653200-B21 #AKM"/>
    <s v="HP DL380p Gen8 8-SFF CTO Server"/>
    <n v="2"/>
    <s v="4BJT42051062"/>
    <d v="2015-01-14T01:54:39"/>
    <d v="2015-01-20T00:00:00"/>
    <d v="2015-01-17T04:22:44"/>
    <d v="2015-01-15T23:03:00"/>
    <d v="2015-01-16T08:25:45"/>
    <d v="2015-01-17T02:55:59"/>
    <n v="27.899999618530273"/>
    <n v="74.5"/>
    <x v="2"/>
    <m/>
    <m/>
    <m/>
    <m/>
    <m/>
    <m/>
    <m/>
    <m/>
    <m/>
    <s v="N"/>
    <s v="Y"/>
  </r>
  <r>
    <s v="TSG_MLDL_PF"/>
    <n v="313904584"/>
    <n v="1115320166"/>
    <s v="719061-B21 #AKM"/>
    <s v="HP DL380 Gen9 12LFF CTO Server"/>
    <n v="2"/>
    <s v="4BJT42051054"/>
    <d v="2015-01-14T01:49:38"/>
    <d v="2015-01-20T00:00:00"/>
    <d v="2015-01-17T09:47:46"/>
    <d v="2015-01-15T14:38:00"/>
    <d v="2015-01-15T19:28:35"/>
    <d v="2015-01-17T06:09:43"/>
    <n v="39.5"/>
    <n v="80"/>
    <x v="2"/>
    <m/>
    <m/>
    <m/>
    <m/>
    <m/>
    <m/>
    <m/>
    <m/>
    <m/>
    <s v="N"/>
    <s v="Y"/>
  </r>
  <r>
    <s v="TSG_MLDL_PF"/>
    <n v="313904584"/>
    <n v="1115320167"/>
    <s v="719061-B21 #AKM"/>
    <s v="HP DL380 Gen9 12LFF CTO Server"/>
    <n v="2"/>
    <s v="4BJT42051054"/>
    <d v="2015-01-14T01:49:39"/>
    <d v="2015-01-20T00:00:00"/>
    <d v="2015-01-17T09:47:46"/>
    <d v="2015-01-15T14:38:00"/>
    <d v="2015-01-15T19:10:10"/>
    <d v="2015-01-17T08:14:03"/>
    <n v="41.599998474121094"/>
    <n v="80"/>
    <x v="2"/>
    <m/>
    <m/>
    <m/>
    <m/>
    <m/>
    <m/>
    <m/>
    <m/>
    <m/>
    <s v="N"/>
    <s v="Y"/>
  </r>
  <r>
    <s v="TSG_MLDL_PF"/>
    <n v="313888752"/>
    <n v="1115296041"/>
    <s v="653200-B21 #AKM"/>
    <s v="HP DL380p Gen8 8-SFF CTO Server"/>
    <n v="16"/>
    <s v="4BJT42051032"/>
    <d v="2015-01-14T01:49:39"/>
    <d v="2015-01-20T00:00:00"/>
    <d v="2015-01-17T08:43:45"/>
    <d v="2015-01-15T23:03:00"/>
    <d v="2015-01-16T07:15:28"/>
    <d v="2015-01-17T07:17:05"/>
    <n v="32.200000762939453"/>
    <n v="78.900001525878906"/>
    <x v="2"/>
    <m/>
    <m/>
    <m/>
    <m/>
    <m/>
    <m/>
    <m/>
    <m/>
    <m/>
    <s v="N"/>
    <m/>
  </r>
  <r>
    <s v="TSG_MLDL_PF"/>
    <n v="313888750"/>
    <n v="1115296042"/>
    <s v="653200-B21 #AKM"/>
    <s v="HP DL380p Gen8 8-SFF CTO Server"/>
    <n v="35"/>
    <s v="4BJT42051031"/>
    <d v="2015-01-14T01:53:39"/>
    <d v="2015-01-20T00:00:00"/>
    <d v="2015-01-17T09:47:46"/>
    <d v="2015-01-15T23:03:00"/>
    <d v="2015-01-16T04:45:41"/>
    <d v="2015-01-17T07:34:27"/>
    <n v="32.5"/>
    <n v="79.900001525878906"/>
    <x v="2"/>
    <m/>
    <m/>
    <m/>
    <m/>
    <m/>
    <m/>
    <m/>
    <m/>
    <m/>
    <s v="N"/>
    <m/>
  </r>
  <r>
    <s v="TSG_MLDL_PF"/>
    <n v="313925014"/>
    <n v="1115345273"/>
    <s v="653200-B21 #AKM"/>
    <s v="HP DL380p Gen8 8-SFF CTO Server"/>
    <n v="5"/>
    <s v="4BJT42049669"/>
    <d v="2015-01-13T20:45:34"/>
    <d v="2015-01-19T00:00:00"/>
    <d v="2015-01-16T07:14:28"/>
    <d v="2015-01-14T21:10:00"/>
    <d v="2015-01-15T01:54:06"/>
    <d v="2015-01-16T04:43:07"/>
    <n v="31.5"/>
    <n v="58.5"/>
    <x v="0"/>
    <m/>
    <m/>
    <m/>
    <m/>
    <m/>
    <m/>
    <m/>
    <m/>
    <m/>
    <s v="N"/>
    <m/>
  </r>
  <r>
    <s v="TSG_MLDL_PF"/>
    <n v="313920512"/>
    <n v="1115342629"/>
    <s v="726045-AA5"/>
    <s v="HP DL320eGen8v2 E3-1220v3 NHP CN Svr/Pro"/>
    <n v="10"/>
    <s v="4BJT42048652"/>
    <d v="2015-01-13T17:05:30"/>
    <d v="2015-01-16T00:00:00"/>
    <d v="2015-01-15T20:40:21"/>
    <d v="2015-01-14T17:15:00"/>
    <d v="2015-01-14T21:11:35"/>
    <d v="2015-01-15T18:40:59"/>
    <n v="25.399999618530273"/>
    <n v="51.599998474121094"/>
    <x v="0"/>
    <m/>
    <m/>
    <m/>
    <m/>
    <m/>
    <m/>
    <m/>
    <m/>
    <m/>
    <s v="N"/>
    <m/>
  </r>
  <r>
    <s v="TSG_MLDL_PF"/>
    <n v="313919097"/>
    <n v="1115340910"/>
    <s v="769503-AA1"/>
    <s v="HP DL160 Gen9 E5-2603v3 LFF Ety CN Svr"/>
    <n v="10"/>
    <s v="4BJT42048634"/>
    <d v="2015-01-13T17:05:31"/>
    <d v="2015-01-16T00:00:00"/>
    <d v="2015-01-16T13:15:39"/>
    <d v="2015-01-15T23:00:00"/>
    <d v="2015-01-15T02:03:35"/>
    <d v="2015-01-16T10:26:19"/>
    <n v="11.399999618530273"/>
    <n v="68.199996948242188"/>
    <x v="2"/>
    <m/>
    <m/>
    <m/>
    <m/>
    <m/>
    <m/>
    <m/>
    <m/>
    <m/>
    <s v="N"/>
    <m/>
  </r>
  <r>
    <s v="TSG_MLDL_PF"/>
    <n v="313888731"/>
    <n v="1115296014"/>
    <s v="778453-AA1"/>
    <s v="HP DL180 Gen9 E5-2603v3 LFF Ety CN Svr"/>
    <n v="20"/>
    <s v="4BJT42048629"/>
    <d v="2015-01-13T18:36:32"/>
    <d v="2015-01-19T00:00:00"/>
    <d v="2015-01-16T15:39:38"/>
    <d v="2015-01-15T23:00:00"/>
    <d v="2015-01-15T07:50:47"/>
    <d v="2015-01-16T12:31:38"/>
    <n v="13.5"/>
    <n v="69.099998474121094"/>
    <x v="2"/>
    <m/>
    <m/>
    <m/>
    <m/>
    <m/>
    <m/>
    <m/>
    <m/>
    <m/>
    <s v="N"/>
    <m/>
  </r>
  <r>
    <s v="TSG_MLDL_PF"/>
    <n v="313863775"/>
    <n v="1115272270"/>
    <s v="L6B07A"/>
    <s v="HP DL360p HY Qih-F4 E5-2630v2 Spcl Svr"/>
    <n v="33"/>
    <s v="4BJT42048626"/>
    <d v="2015-01-13T17:09:29"/>
    <d v="2015-01-19T00:00:00"/>
    <d v="2015-01-16T18:35:38"/>
    <d v="2015-01-15T09:01:00"/>
    <d v="2015-01-15T18:23:27"/>
    <d v="2015-01-16T16:03:01"/>
    <n v="31"/>
    <n v="73.400001525878906"/>
    <x v="2"/>
    <m/>
    <m/>
    <m/>
    <m/>
    <m/>
    <m/>
    <m/>
    <m/>
    <m/>
    <s v="N"/>
    <m/>
  </r>
  <r>
    <s v="TSG_MLDL_PF"/>
    <n v="313863768"/>
    <n v="1115272268"/>
    <s v="L6B07A"/>
    <s v="HP DL360p HY Qih-F4 E5-2630v2 Spcl Svr"/>
    <n v="105"/>
    <s v="4BJT42048625"/>
    <d v="2015-01-13T17:19:31"/>
    <d v="2015-01-19T00:00:00"/>
    <d v="2015-01-16T18:35:38"/>
    <d v="2015-01-15T09:01:00"/>
    <d v="2015-01-15T13:05:56"/>
    <d v="2015-01-16T16:03:44"/>
    <n v="31"/>
    <n v="73.300003051757812"/>
    <x v="2"/>
    <m/>
    <m/>
    <m/>
    <m/>
    <m/>
    <m/>
    <m/>
    <m/>
    <m/>
    <s v="N"/>
    <m/>
  </r>
  <r>
    <s v="TSG_MLDL_PF"/>
    <n v="313910275"/>
    <n v="1115327030"/>
    <s v="665552-B21 #AKM"/>
    <s v="HP DL380p Gen8 12-LFF CTO Server"/>
    <n v="100"/>
    <s v="4BJT42048437"/>
    <d v="2015-01-13T17:55:32"/>
    <d v="2015-01-19T00:00:00"/>
    <d v="2015-01-17T18:14:52"/>
    <d v="2015-01-15T18:18:00"/>
    <d v="2015-01-15T22:58:50"/>
    <d v="2015-01-17T14:51:07"/>
    <n v="44.5"/>
    <n v="96.300003051757813"/>
    <x v="1"/>
    <m/>
    <m/>
    <m/>
    <m/>
    <m/>
    <m/>
    <m/>
    <m/>
    <m/>
    <s v="N"/>
    <m/>
  </r>
  <r>
    <s v="TSG_MLDL_PF"/>
    <n v="313883898"/>
    <n v="1115294318"/>
    <s v="653203-B21 #AKM"/>
    <s v="HP DL385p Gen8 8-SFF CTO Server"/>
    <n v="8"/>
    <s v="4BJT42045539"/>
    <d v="2015-01-13T01:49:16"/>
    <d v="2015-01-19T00:00:00"/>
    <d v="2015-01-17T14:01:53"/>
    <d v="2015-01-15T18:18:00"/>
    <d v="2015-01-16T00:17:00"/>
    <d v="2015-01-17T02:47:02"/>
    <n v="32.5"/>
    <n v="101.5"/>
    <x v="2"/>
    <m/>
    <m/>
    <m/>
    <m/>
    <m/>
    <m/>
    <m/>
    <m/>
    <m/>
    <s v="N"/>
    <s v="Y"/>
  </r>
  <r>
    <s v="TSG_MLDL_PF"/>
    <n v="313883898"/>
    <n v="1115294327"/>
    <s v="669803-B21 #AKM"/>
    <s v="HP DL385p Gen8 25-SFF CTO Server"/>
    <n v="24"/>
    <s v="4BJT42045539"/>
    <d v="2015-01-13T01:54:09"/>
    <d v="2015-01-19T00:00:00"/>
    <d v="2015-01-17T14:01:54"/>
    <d v="2015-01-15T18:18:00"/>
    <d v="2015-01-16T00:38:30"/>
    <d v="2015-01-17T12:16:05"/>
    <n v="42"/>
    <n v="101.5"/>
    <x v="2"/>
    <m/>
    <m/>
    <m/>
    <m/>
    <m/>
    <m/>
    <m/>
    <m/>
    <m/>
    <s v="N"/>
    <s v="Y"/>
  </r>
  <r>
    <s v="TSG_MLDL_PF"/>
    <n v="313883898"/>
    <n v="1115294320"/>
    <s v="653203-B21 #AKM"/>
    <s v="HP DL385p Gen8 8-SFF CTO Server"/>
    <n v="1"/>
    <s v="4BJT42045539"/>
    <d v="2015-01-13T01:47:08"/>
    <d v="2015-01-19T00:00:00"/>
    <d v="2015-01-17T14:01:54"/>
    <d v="2015-01-14T09:00:00"/>
    <d v="2015-01-14T12:05:23"/>
    <d v="2015-01-15T06:24:41"/>
    <n v="21.399999618530273"/>
    <n v="101.5"/>
    <x v="2"/>
    <m/>
    <m/>
    <m/>
    <m/>
    <m/>
    <m/>
    <m/>
    <m/>
    <m/>
    <s v="N"/>
    <s v="Y"/>
  </r>
  <r>
    <s v="TSG_MLDL_PF"/>
    <n v="313883898"/>
    <n v="1115294322"/>
    <s v="653203-B21 #AKM"/>
    <s v="HP DL385p Gen8 8-SFF CTO Server"/>
    <n v="4"/>
    <s v="4BJT42045539"/>
    <d v="2015-01-13T01:49:16"/>
    <d v="2015-01-19T00:00:00"/>
    <d v="2015-01-17T14:01:54"/>
    <d v="2015-01-14T03:20:00"/>
    <d v="2015-01-14T10:56:26"/>
    <d v="2015-01-15T19:35:17"/>
    <n v="40.200000762939453"/>
    <n v="101.5"/>
    <x v="2"/>
    <m/>
    <m/>
    <m/>
    <m/>
    <m/>
    <m/>
    <m/>
    <m/>
    <m/>
    <s v="N"/>
    <s v="Y"/>
  </r>
  <r>
    <s v="TSG_MLDL_PF"/>
    <n v="313883898"/>
    <n v="1115294325"/>
    <s v="653203-B21 #AKM"/>
    <s v="HP DL385p Gen8 8-SFF CTO Server"/>
    <n v="5"/>
    <s v="4BJT42045539"/>
    <d v="2015-01-13T01:49:09"/>
    <d v="2015-01-19T00:00:00"/>
    <d v="2015-01-17T14:01:54"/>
    <d v="2015-01-14T03:20:00"/>
    <d v="2015-01-14T10:36:09"/>
    <d v="2015-01-16T15:21:36"/>
    <n v="60"/>
    <n v="101.5"/>
    <x v="1"/>
    <m/>
    <m/>
    <m/>
    <m/>
    <m/>
    <m/>
    <m/>
    <m/>
    <m/>
    <s v="N"/>
    <s v="Y"/>
  </r>
  <r>
    <s v="TSG_ENCL_PF"/>
    <n v="313883897"/>
    <n v="1115294211"/>
    <s v="681844-B21"/>
    <s v="HP BLc7000 CTO 3 IN LCD Plat Enclosure"/>
    <n v="1"/>
    <s v="4BJT42045538"/>
    <d v="2015-01-13T01:46:08"/>
    <d v="2015-01-19T00:00:00"/>
    <d v="2015-01-15T21:59:23"/>
    <d v="2015-01-13T13:30:00"/>
    <d v="2015-01-13T15:02:13"/>
    <d v="2015-01-14T00:00:46"/>
    <n v="10.5"/>
    <n v="61.5"/>
    <x v="2"/>
    <m/>
    <m/>
    <m/>
    <m/>
    <m/>
    <m/>
    <m/>
    <m/>
    <m/>
    <s v="N"/>
    <s v="Y"/>
  </r>
  <r>
    <s v="TSG_ENCL_PF"/>
    <n v="313883897"/>
    <n v="1115294312"/>
    <s v="681844-B21"/>
    <s v="HP BLc7000 CTO 3 IN LCD Plat Enclosure"/>
    <n v="11"/>
    <s v="4BJT42045538"/>
    <d v="2015-01-13T01:50:16"/>
    <d v="2015-01-19T00:00:00"/>
    <d v="2015-01-15T21:59:23"/>
    <d v="2015-01-13T13:30:00"/>
    <d v="2015-01-13T15:04:09"/>
    <d v="2015-01-14T04:09:47"/>
    <n v="14.699999809265137"/>
    <n v="61.5"/>
    <x v="2"/>
    <m/>
    <m/>
    <m/>
    <m/>
    <m/>
    <m/>
    <m/>
    <m/>
    <m/>
    <s v="N"/>
    <s v="Y"/>
  </r>
  <r>
    <s v="TSG_BLD_PF"/>
    <n v="313883897"/>
    <n v="1115294316"/>
    <s v="518878-B21"/>
    <s v="HP BL685c G7 CTO Blade"/>
    <n v="3"/>
    <s v="4BJT42045538"/>
    <d v="2015-01-13T01:48:08"/>
    <d v="2015-01-19T00:00:00"/>
    <d v="2015-01-15T21:59:23"/>
    <d v="2015-01-13T13:30:00"/>
    <d v="2015-01-13T18:56:15"/>
    <d v="2015-01-14T16:47:48"/>
    <n v="27.299999237060547"/>
    <n v="61.5"/>
    <x v="2"/>
    <m/>
    <m/>
    <m/>
    <m/>
    <m/>
    <m/>
    <m/>
    <m/>
    <m/>
    <s v="N"/>
    <s v="Y"/>
  </r>
  <r>
    <s v="TSG_BLD_PF"/>
    <n v="313883897"/>
    <n v="1115294321"/>
    <s v="634975-B21"/>
    <s v="HP BL465c Gen8 10Gb Flb CTO Blade"/>
    <n v="2"/>
    <s v="4BJT42045538"/>
    <d v="2015-01-13T01:48:09"/>
    <d v="2015-01-19T00:00:00"/>
    <d v="2015-01-15T21:59:23"/>
    <d v="2015-01-13T13:30:00"/>
    <d v="2015-01-13T15:51:09"/>
    <d v="2015-01-14T17:08:54"/>
    <n v="27.600000381469727"/>
    <n v="61.5"/>
    <x v="2"/>
    <m/>
    <m/>
    <m/>
    <m/>
    <m/>
    <m/>
    <m/>
    <m/>
    <m/>
    <s v="N"/>
    <s v="Y"/>
  </r>
  <r>
    <s v="TSG_BLD_PF"/>
    <n v="313883897"/>
    <n v="1115294317"/>
    <s v="518878-B21"/>
    <s v="HP BL685c G7 CTO Blade"/>
    <n v="15"/>
    <s v="4BJT42045538"/>
    <d v="2015-01-13T01:50:09"/>
    <d v="2015-01-19T00:00:00"/>
    <d v="2015-01-15T21:59:22"/>
    <d v="2015-01-13T13:30:00"/>
    <d v="2015-01-14T08:44:30"/>
    <d v="2015-01-15T19:59:30"/>
    <n v="54.5"/>
    <n v="61.5"/>
    <x v="1"/>
    <m/>
    <m/>
    <m/>
    <m/>
    <m/>
    <m/>
    <m/>
    <m/>
    <m/>
    <s v="N"/>
    <s v="Y"/>
  </r>
  <r>
    <s v="TSG_BLD_PF"/>
    <n v="313883897"/>
    <n v="1115294319"/>
    <s v="518878-B21"/>
    <s v="HP BL685c G7 CTO Blade"/>
    <n v="4"/>
    <s v="4BJT42045538"/>
    <d v="2015-01-13T01:48:09"/>
    <d v="2015-01-19T00:00:00"/>
    <d v="2015-01-15T21:59:23"/>
    <d v="2015-01-13T13:30:00"/>
    <d v="2015-01-13T19:02:06"/>
    <d v="2015-01-15T13:55:42"/>
    <n v="48.400001525878906"/>
    <n v="61.5"/>
    <x v="1"/>
    <m/>
    <m/>
    <m/>
    <m/>
    <m/>
    <m/>
    <m/>
    <m/>
    <m/>
    <s v="N"/>
    <s v="Y"/>
  </r>
  <r>
    <s v="TSG_BLD_PF"/>
    <n v="313883897"/>
    <n v="1115294313"/>
    <s v="518878-B21"/>
    <s v="HP BL685c G7 CTO Blade"/>
    <n v="2"/>
    <s v="4BJT42045538"/>
    <d v="2015-01-13T01:47:15"/>
    <d v="2015-01-19T00:00:00"/>
    <d v="2015-01-15T21:59:23"/>
    <d v="2015-01-13T13:30:00"/>
    <d v="2015-01-13T18:50:52"/>
    <d v="2015-01-15T03:26:20"/>
    <n v="37.900001525878906"/>
    <n v="61.5"/>
    <x v="2"/>
    <m/>
    <m/>
    <m/>
    <m/>
    <m/>
    <m/>
    <m/>
    <m/>
    <m/>
    <s v="N"/>
    <s v="Y"/>
  </r>
  <r>
    <s v="TSG_BLD_PF"/>
    <n v="313883897"/>
    <n v="1115294323"/>
    <s v="634975-B21"/>
    <s v="HP BL465c Gen8 10Gb Flb CTO Blade"/>
    <n v="2"/>
    <s v="4BJT42045538"/>
    <d v="2015-01-13T01:48:08"/>
    <d v="2015-01-19T00:00:00"/>
    <d v="2015-01-15T21:59:23"/>
    <d v="2015-01-13T13:30:00"/>
    <d v="2015-01-13T15:44:06"/>
    <d v="2015-01-15T03:27:18"/>
    <n v="38"/>
    <n v="61.5"/>
    <x v="2"/>
    <m/>
    <m/>
    <m/>
    <m/>
    <m/>
    <m/>
    <m/>
    <m/>
    <m/>
    <s v="N"/>
    <s v="Y"/>
  </r>
  <r>
    <s v="TSG_BLD_PF"/>
    <n v="313883897"/>
    <n v="1115294314"/>
    <s v="518878-B21"/>
    <s v="HP BL685c G7 CTO Blade"/>
    <n v="4"/>
    <s v="4BJT42045538"/>
    <d v="2015-01-13T01:48:10"/>
    <d v="2015-01-19T00:00:00"/>
    <d v="2015-01-15T21:59:23"/>
    <d v="2015-01-13T13:30:00"/>
    <d v="2015-01-13T19:06:51"/>
    <d v="2015-01-15T03:30:47"/>
    <n v="38"/>
    <n v="61.5"/>
    <x v="2"/>
    <m/>
    <m/>
    <m/>
    <m/>
    <m/>
    <m/>
    <m/>
    <m/>
    <m/>
    <s v="N"/>
    <s v="Y"/>
  </r>
  <r>
    <s v="TSG_BLD_PF"/>
    <n v="313883897"/>
    <n v="1115294326"/>
    <s v="634975-B21"/>
    <s v="HP BL465c Gen8 10Gb Flb CTO Blade"/>
    <n v="52"/>
    <s v="4BJT42045538"/>
    <d v="2015-01-13T01:54:09"/>
    <d v="2015-01-19T00:00:00"/>
    <d v="2015-01-15T21:59:22"/>
    <d v="2015-01-13T13:30:00"/>
    <d v="2015-01-13T16:50:34"/>
    <d v="2015-01-15T03:34:27"/>
    <n v="38.099998474121094"/>
    <n v="61.5"/>
    <x v="2"/>
    <m/>
    <m/>
    <m/>
    <m/>
    <m/>
    <m/>
    <m/>
    <m/>
    <m/>
    <s v="N"/>
    <s v="Y"/>
  </r>
  <r>
    <s v="TSG_BLD_PF"/>
    <n v="313883897"/>
    <n v="1115294324"/>
    <s v="634975-B21"/>
    <s v="HP BL465c Gen8 10Gb Flb CTO Blade"/>
    <n v="12"/>
    <s v="4BJT42045538"/>
    <d v="2015-01-13T01:49:16"/>
    <d v="2015-01-19T00:00:00"/>
    <d v="2015-01-15T21:59:23"/>
    <d v="2015-01-13T13:30:00"/>
    <d v="2015-01-13T16:05:01"/>
    <d v="2015-01-15T04:04:37"/>
    <n v="38.599998474121094"/>
    <n v="61.5"/>
    <x v="2"/>
    <m/>
    <m/>
    <m/>
    <m/>
    <m/>
    <m/>
    <m/>
    <m/>
    <m/>
    <s v="N"/>
    <s v="Y"/>
  </r>
  <r>
    <s v="TSG_BLD_PF"/>
    <n v="313883897"/>
    <n v="1115294315"/>
    <s v="518878-B21"/>
    <s v="HP BL685c G7 CTO Blade"/>
    <n v="15"/>
    <s v="4BJT42045538"/>
    <d v="2015-01-13T01:50:09"/>
    <d v="2015-01-19T00:00:00"/>
    <d v="2015-01-15T21:59:22"/>
    <d v="2015-01-13T13:30:00"/>
    <d v="2015-01-13T19:12:09"/>
    <d v="2015-01-15T06:24:53"/>
    <n v="40.900001525878906"/>
    <n v="61.5"/>
    <x v="2"/>
    <m/>
    <m/>
    <m/>
    <m/>
    <m/>
    <m/>
    <m/>
    <m/>
    <m/>
    <s v="N"/>
    <s v="Y"/>
  </r>
  <r>
    <s v="TSG_MLDL_PF"/>
    <n v="313883897"/>
    <n v="1115294328"/>
    <s v="653203-B21 #AKM"/>
    <s v="HP DL385p Gen8 8-SFF CTO Server"/>
    <n v="2"/>
    <s v="4BJT42045538"/>
    <d v="2015-01-13T01:48:08"/>
    <d v="2015-01-19T00:00:00"/>
    <d v="2015-01-15T21:59:22"/>
    <d v="2015-01-14T03:20:00"/>
    <d v="2015-01-14T11:43:41"/>
    <d v="2015-01-15T06:53:57"/>
    <n v="27.600000381469727"/>
    <n v="61.5"/>
    <x v="2"/>
    <m/>
    <m/>
    <m/>
    <m/>
    <m/>
    <m/>
    <m/>
    <m/>
    <m/>
    <s v="N"/>
    <s v="Y"/>
  </r>
  <r>
    <s v="TSG_MLDL_PF"/>
    <n v="313883869"/>
    <n v="1115291835"/>
    <s v="653200-B21 #AKM"/>
    <s v="HP DL380p Gen8 8-SFF CTO Server"/>
    <n v="12"/>
    <s v="4BJT42045535"/>
    <d v="2015-01-13T01:45:09"/>
    <d v="2015-01-19T00:00:00"/>
    <d v="2015-01-16T05:23:25"/>
    <d v="2015-01-14T03:20:00"/>
    <d v="2015-01-14T11:37:22"/>
    <d v="2015-01-15T02:14:35"/>
    <n v="22.899999618530273"/>
    <n v="68.900001525878906"/>
    <x v="2"/>
    <m/>
    <m/>
    <m/>
    <m/>
    <m/>
    <m/>
    <m/>
    <m/>
    <m/>
    <s v="N"/>
    <s v="Y"/>
  </r>
  <r>
    <s v="TSG_MLDL_PF"/>
    <n v="313883869"/>
    <n v="1115291836"/>
    <s v="728551-B21 #AKM"/>
    <s v="HP DL580 Gen8 CTO Svr"/>
    <n v="12"/>
    <s v="4BJT42045535"/>
    <d v="2015-01-13T01:45:16"/>
    <d v="2015-01-19T00:00:00"/>
    <d v="2015-01-16T05:23:25"/>
    <d v="2015-01-14T11:30:00"/>
    <d v="2015-01-14T15:40:08"/>
    <d v="2015-01-16T03:27:44"/>
    <n v="40"/>
    <n v="68.900001525878906"/>
    <x v="2"/>
    <m/>
    <m/>
    <m/>
    <m/>
    <m/>
    <m/>
    <m/>
    <m/>
    <m/>
    <s v="N"/>
    <s v="Y"/>
  </r>
  <r>
    <s v="TSG_MLDL_PF"/>
    <n v="313906696"/>
    <n v="1115324151"/>
    <s v="653200-B21 #AKM"/>
    <s v="HP DL380p Gen8 8-SFF CTO Server"/>
    <n v="2"/>
    <s v="4BJT42043440"/>
    <d v="2015-01-12T18:00:10"/>
    <d v="2015-01-16T00:00:00"/>
    <d v="2015-01-14T12:10:55"/>
    <d v="2015-01-13T15:30:00"/>
    <d v="2015-01-13T19:43:59"/>
    <d v="2015-01-14T09:53:27"/>
    <n v="18.399999618530273"/>
    <n v="27.700000762939453"/>
    <x v="0"/>
    <m/>
    <m/>
    <m/>
    <m/>
    <m/>
    <m/>
    <m/>
    <m/>
    <m/>
    <s v="N"/>
    <m/>
  </r>
  <r>
    <s v="TSG_MLDL_PF"/>
    <n v="313906694"/>
    <n v="1115324147"/>
    <s v="653200-B21 #AKM"/>
    <s v="HP DL380p Gen8 8-SFF CTO Server"/>
    <n v="12"/>
    <s v="4BJT42042737"/>
    <d v="2015-01-12T16:20:01"/>
    <d v="2015-01-16T00:00:00"/>
    <d v="2015-01-14T18:18:06"/>
    <d v="2015-01-13T15:30:00"/>
    <d v="2015-01-13T20:41:16"/>
    <d v="2015-01-14T12:10:27"/>
    <n v="20.700000762939453"/>
    <n v="33.799999237060547"/>
    <x v="0"/>
    <m/>
    <m/>
    <m/>
    <m/>
    <m/>
    <m/>
    <m/>
    <m/>
    <m/>
    <s v="N"/>
    <s v="Y"/>
  </r>
  <r>
    <s v="TSG_MLDL_PF"/>
    <n v="313906694"/>
    <n v="1115324148"/>
    <s v="653200-B21 #AKM"/>
    <s v="HP DL380p Gen8 8-SFF CTO Server"/>
    <n v="4"/>
    <s v="4BJT42042737"/>
    <d v="2015-01-12T16:19:59"/>
    <d v="2015-01-16T00:00:00"/>
    <d v="2015-01-14T18:18:06"/>
    <d v="2015-01-13T15:30:00"/>
    <d v="2015-01-14T00:26:46"/>
    <d v="2015-01-14T15:57:43"/>
    <n v="24.5"/>
    <n v="33.799999237060547"/>
    <x v="0"/>
    <m/>
    <m/>
    <m/>
    <m/>
    <m/>
    <m/>
    <m/>
    <m/>
    <m/>
    <s v="N"/>
    <s v="Y"/>
  </r>
  <r>
    <s v="TSG_MLDL_PF"/>
    <n v="313888756"/>
    <n v="1115296046"/>
    <s v="653200-B21 #AKM"/>
    <s v="HP DL380p Gen8 8-SFF CTO Server"/>
    <n v="54"/>
    <s v="4BJT42042698"/>
    <d v="2015-01-12T16:15:00"/>
    <d v="2015-01-16T00:00:00"/>
    <d v="2015-01-15T03:32:07"/>
    <d v="2015-01-13T15:30:00"/>
    <d v="2015-01-13T21:15:27"/>
    <d v="2015-01-15T02:12:55"/>
    <n v="34.700000762939453"/>
    <n v="43"/>
    <x v="0"/>
    <m/>
    <m/>
    <m/>
    <m/>
    <m/>
    <m/>
    <m/>
    <m/>
    <m/>
    <s v="N"/>
    <m/>
  </r>
  <r>
    <s v="TSG_MLDL_PF"/>
    <n v="313887987"/>
    <n v="1115294787"/>
    <s v="653200-B21 #AKM"/>
    <s v="HP DL380p Gen8 8-SFF CTO Server"/>
    <n v="2"/>
    <s v="4BJT42042686"/>
    <d v="2015-01-12T16:03:59"/>
    <d v="2015-01-16T00:00:00"/>
    <d v="2015-01-14T10:34:54"/>
    <d v="2015-01-13T15:30:00"/>
    <d v="2015-01-13T18:10:23"/>
    <d v="2015-01-14T07:40:34"/>
    <n v="16.200000762939453"/>
    <n v="26.100000381469727"/>
    <x v="0"/>
    <m/>
    <m/>
    <m/>
    <m/>
    <m/>
    <m/>
    <m/>
    <m/>
    <m/>
    <s v="N"/>
    <m/>
  </r>
  <r>
    <s v="TSG_MLDL_PF"/>
    <n v="313887986"/>
    <n v="1115294785"/>
    <s v="653200-B21 #AKM"/>
    <s v="HP DL380p Gen8 8-SFF CTO Server"/>
    <n v="6"/>
    <s v="4BJT42042685"/>
    <d v="2015-01-12T16:03:59"/>
    <d v="2015-01-16T00:00:00"/>
    <d v="2015-01-14T09:31:53"/>
    <d v="2015-01-13T15:30:00"/>
    <d v="2015-01-13T17:50:13"/>
    <d v="2015-01-14T07:11:32"/>
    <n v="15.699999809265137"/>
    <n v="25"/>
    <x v="0"/>
    <m/>
    <m/>
    <m/>
    <m/>
    <m/>
    <m/>
    <m/>
    <m/>
    <m/>
    <s v="N"/>
    <m/>
  </r>
  <r>
    <s v="TSG_MLDL_PF"/>
    <n v="313887539"/>
    <n v="1115292998"/>
    <s v="653200-B21 #AKM"/>
    <s v="HP DL380p Gen8 8-SFF CTO Server"/>
    <n v="2"/>
    <s v="4BJT42042683"/>
    <d v="2015-01-12T16:04:09"/>
    <d v="2015-01-16T00:00:00"/>
    <d v="2015-01-14T13:46:58"/>
    <d v="2015-01-13T15:30:00"/>
    <d v="2015-01-13T22:05:22"/>
    <d v="2015-01-14T12:01:03"/>
    <n v="20.5"/>
    <n v="29.299999237060547"/>
    <x v="0"/>
    <m/>
    <m/>
    <m/>
    <m/>
    <m/>
    <m/>
    <m/>
    <m/>
    <m/>
    <s v="N"/>
    <m/>
  </r>
  <r>
    <s v="TSG_MLDL_PF"/>
    <n v="313884297"/>
    <n v="1115294960"/>
    <s v="653200-B21 #AKM"/>
    <s v="HP DL380p Gen8 8-SFF CTO Server"/>
    <n v="2"/>
    <s v="4BJT42042680"/>
    <d v="2015-01-12T16:03:59"/>
    <d v="2015-01-16T00:00:00"/>
    <d v="2015-01-14T12:10:54"/>
    <d v="2015-01-13T15:30:00"/>
    <d v="2015-01-13T19:36:21"/>
    <d v="2015-01-14T09:23:30"/>
    <n v="17.899999618530273"/>
    <n v="27.700000762939453"/>
    <x v="0"/>
    <m/>
    <m/>
    <m/>
    <m/>
    <m/>
    <m/>
    <m/>
    <m/>
    <m/>
    <s v="N"/>
    <m/>
  </r>
  <r>
    <s v="TSG_MLDL_PF"/>
    <n v="313910277"/>
    <n v="1115327029"/>
    <s v="665552-B21 #AKM"/>
    <s v="HP DL380p Gen8 12-LFF CTO Server"/>
    <n v="80"/>
    <s v="4BJT42042202"/>
    <d v="2015-01-12T14:38:58"/>
    <d v="2015-01-16T00:00:00"/>
    <d v="2015-01-16T02:29:24"/>
    <d v="2015-01-13T22:40:00"/>
    <d v="2015-01-14T02:57:11"/>
    <d v="2015-01-15T23:55:47"/>
    <n v="49.299999237060547"/>
    <n v="66"/>
    <x v="1"/>
    <m/>
    <m/>
    <m/>
    <m/>
    <m/>
    <m/>
    <m/>
    <m/>
    <m/>
    <s v="N"/>
    <m/>
  </r>
  <r>
    <s v="TSG_MLDL_PF"/>
    <n v="313871910"/>
    <n v="1115271286"/>
    <s v="653200-B21 #AKM"/>
    <s v="HP DL380p Gen8 8-SFF CTO Server"/>
    <n v="4"/>
    <s v="4BJT42041789"/>
    <d v="2015-01-12T13:03:55"/>
    <d v="2015-01-16T00:00:00"/>
    <d v="2015-01-15T02:13:05"/>
    <d v="2015-01-13T15:30:00"/>
    <d v="2015-01-14T00:27:41"/>
    <d v="2015-01-14T17:05:04"/>
    <n v="25.600000381469727"/>
    <n v="41.700000762939453"/>
    <x v="0"/>
    <m/>
    <m/>
    <m/>
    <m/>
    <m/>
    <m/>
    <m/>
    <m/>
    <m/>
    <s v="N"/>
    <s v="Y"/>
  </r>
  <r>
    <s v="TSG_MLDL_PF"/>
    <n v="313871910"/>
    <n v="1115271287"/>
    <s v="653200-B21 #AKM"/>
    <s v="HP DL380p Gen8 8-SFF CTO Server"/>
    <n v="18"/>
    <s v="4BJT42041789"/>
    <d v="2015-01-12T13:04:55"/>
    <d v="2015-01-16T00:00:00"/>
    <d v="2015-01-15T02:13:05"/>
    <d v="2015-01-13T09:46:00"/>
    <d v="2015-01-13T13:36:24"/>
    <d v="2015-01-15T00:13:31"/>
    <n v="38.5"/>
    <n v="41.700000762939453"/>
    <x v="0"/>
    <m/>
    <m/>
    <m/>
    <m/>
    <m/>
    <m/>
    <m/>
    <m/>
    <m/>
    <s v="N"/>
    <s v="Y"/>
  </r>
  <r>
    <s v="TSG_MLDL_PF"/>
    <n v="313891740"/>
    <n v="1115299871"/>
    <s v="669805-B21 #AKM"/>
    <s v="HP DL385p Gen8 12-LFF CTO Server"/>
    <n v="13"/>
    <s v="4BJT42039864"/>
    <d v="2015-01-12T02:05:43"/>
    <d v="2015-01-16T00:00:00"/>
    <d v="2015-01-14T12:10:54"/>
    <d v="2015-01-13T11:00:00"/>
    <d v="2015-01-13T14:09:23"/>
    <d v="2015-01-14T10:43:42"/>
    <n v="23.700000762939453"/>
    <n v="27.700000762939453"/>
    <x v="0"/>
    <m/>
    <m/>
    <m/>
    <m/>
    <m/>
    <m/>
    <m/>
    <m/>
    <m/>
    <s v="N"/>
    <m/>
  </r>
  <r>
    <s v="TSG_MLDL_PF"/>
    <n v="313885569"/>
    <n v="1115291947"/>
    <s v="653200-B21 #AKM"/>
    <s v="HP DL380p Gen8 8-SFF CTO Server"/>
    <n v="2"/>
    <s v="4BJT42031844"/>
    <d v="2015-01-09T17:14:47"/>
    <d v="2015-01-14T00:00:00"/>
    <d v="2015-01-12T14:01:16"/>
    <d v="2015-01-10T09:30:00"/>
    <d v="2015-01-10T14:20:23"/>
    <d v="2015-01-12T11:42:09"/>
    <n v="23"/>
    <n v="39.299999237060547"/>
    <x v="0"/>
    <m/>
    <m/>
    <m/>
    <m/>
    <m/>
    <m/>
    <m/>
    <m/>
    <m/>
    <s v="N"/>
    <s v="Y"/>
  </r>
  <r>
    <s v="TSG_MLDL_PF"/>
    <n v="313885569"/>
    <n v="1115291949"/>
    <s v="653203-B21 #AKM"/>
    <s v="HP DL385p Gen8 8-SFF CTO Server"/>
    <n v="1"/>
    <s v="4BJT42031844"/>
    <d v="2015-01-09T17:13:47"/>
    <d v="2015-01-14T00:00:00"/>
    <d v="2015-01-12T14:01:16"/>
    <d v="2015-01-10T09:30:00"/>
    <d v="2015-01-10T13:24:13"/>
    <d v="2015-01-12T10:59:11"/>
    <n v="23"/>
    <n v="39.299999237060547"/>
    <x v="0"/>
    <m/>
    <m/>
    <m/>
    <m/>
    <m/>
    <m/>
    <m/>
    <m/>
    <m/>
    <s v="N"/>
    <s v="Y"/>
  </r>
  <r>
    <s v="TSG_MLDL_PF"/>
    <n v="313885569"/>
    <n v="1115291950"/>
    <s v="728551-B21 #AKM"/>
    <s v="HP DL580 Gen8 CTO Svr"/>
    <n v="2"/>
    <s v="4BJT42031844"/>
    <d v="2015-01-09T17:13:54"/>
    <d v="2015-01-14T00:00:00"/>
    <d v="2015-01-12T14:01:16"/>
    <d v="2015-01-10T09:30:00"/>
    <d v="2015-01-10T13:56:26"/>
    <d v="2015-01-12T12:16:18"/>
    <n v="23"/>
    <n v="39.299999237060547"/>
    <x v="0"/>
    <m/>
    <m/>
    <m/>
    <m/>
    <m/>
    <m/>
    <m/>
    <m/>
    <m/>
    <s v="N"/>
    <s v="Y"/>
  </r>
  <r>
    <s v="TSG_MLDL_PF"/>
    <n v="313885569"/>
    <n v="1115291948"/>
    <s v="653200-B21 #AKM"/>
    <s v="HP DL380p Gen8 8-SFF CTO Server"/>
    <n v="1"/>
    <s v="4BJT42031844"/>
    <d v="2015-01-09T17:13:47"/>
    <d v="2015-01-14T00:00:00"/>
    <d v="2015-01-12T14:01:16"/>
    <d v="2015-01-10T09:30:00"/>
    <d v="2015-01-10T13:47:27"/>
    <d v="2015-01-11T00:10:52"/>
    <n v="14.699999809265137"/>
    <n v="39.299999237060547"/>
    <x v="0"/>
    <m/>
    <m/>
    <m/>
    <m/>
    <m/>
    <m/>
    <m/>
    <m/>
    <m/>
    <s v="N"/>
    <s v="Y"/>
  </r>
  <r>
    <s v="TSG_MLDL_PF"/>
    <n v="313906695"/>
    <n v="1115324149"/>
    <s v="728551-B21 #AKM"/>
    <s v="HP DL580 Gen8 CTO Svr"/>
    <n v="1"/>
    <s v="4BJT42031298"/>
    <d v="2015-01-09T16:07:55"/>
    <d v="2015-01-14T00:00:00"/>
    <d v="2015-01-12T14:01:17"/>
    <d v="2015-01-10T01:10:00"/>
    <d v="2015-01-10T09:15:14"/>
    <d v="2015-01-11T00:50:10"/>
    <n v="23.700000762939453"/>
    <n v="40.400001525878906"/>
    <x v="0"/>
    <m/>
    <m/>
    <m/>
    <m/>
    <m/>
    <m/>
    <m/>
    <m/>
    <m/>
    <s v="N"/>
    <m/>
  </r>
  <r>
    <s v="TSG_MLDL_PF"/>
    <n v="313811403"/>
    <n v="1115182378"/>
    <s v="E7W80A"/>
    <s v="HP StoreEasy 1640 Storage"/>
    <n v="10"/>
    <s v="4BJT42031005"/>
    <d v="2015-01-09T15:05:44"/>
    <d v="2015-01-14T00:00:00"/>
    <d v="2015-01-12T14:01:16"/>
    <d v="2015-01-10T01:10:00"/>
    <d v="2015-01-10T10:23:58"/>
    <d v="2015-01-12T10:47:26"/>
    <n v="31.299999237060547"/>
    <n v="41.400001525878906"/>
    <x v="0"/>
    <m/>
    <m/>
    <m/>
    <m/>
    <m/>
    <m/>
    <m/>
    <m/>
    <m/>
    <s v="N"/>
    <m/>
  </r>
  <r>
    <s v="TSG_MLDL_PF"/>
    <n v="313863787"/>
    <n v="1115272289"/>
    <s v="L6B06A"/>
    <s v="HP DL380p E5-2630v2 Qih-F5 Spcl Svr"/>
    <n v="75"/>
    <s v="4BJT42021975"/>
    <d v="2015-01-08T02:10:57"/>
    <d v="2015-01-14T00:00:00"/>
    <d v="2015-01-13T16:11:43"/>
    <d v="2015-01-08T14:01:00"/>
    <d v="2015-01-08T16:52:07"/>
    <d v="2015-01-10T14:03:53"/>
    <n v="48"/>
    <n v="86"/>
    <x v="1"/>
    <m/>
    <m/>
    <m/>
    <m/>
    <m/>
    <m/>
    <m/>
    <m/>
    <m/>
    <s v="N"/>
    <m/>
  </r>
  <r>
    <s v="TSG_MLDL_PF"/>
    <n v="313863791"/>
    <n v="1115272290"/>
    <s v="L6B06A"/>
    <s v="HP DL380p E5-2630v2 Qih-F5 Spcl Svr"/>
    <n v="6"/>
    <s v="4BJT42021744"/>
    <d v="2015-01-08T00:48:02"/>
    <d v="2015-01-14T00:00:00"/>
    <d v="2015-01-13T16:11:43"/>
    <d v="2015-01-08T14:01:00"/>
    <d v="2015-01-08T16:41:41"/>
    <d v="2015-01-09T17:36:48"/>
    <n v="27.600000381469727"/>
    <n v="87.400001525878906"/>
    <x v="2"/>
    <m/>
    <m/>
    <m/>
    <m/>
    <m/>
    <m/>
    <m/>
    <m/>
    <m/>
    <s v="N"/>
    <m/>
  </r>
  <r>
    <s v="TSG_BLD_PF"/>
    <n v="313884311"/>
    <n v="1115286209"/>
    <s v="727021-B21"/>
    <s v="HP BL460c Gen9 10Gb/20Gb FLB CTO Blade"/>
    <n v="32"/>
    <s v="4BJT42006186"/>
    <d v="2015-01-05T02:15:39"/>
    <d v="2015-01-09T00:00:00"/>
    <d v="2015-01-15T22:31:21"/>
    <d v="2015-01-06T08:47:00"/>
    <d v="2015-01-06T14:17:42"/>
    <d v="2015-01-15T20:06:05"/>
    <n v="179.30000305175781"/>
    <n v="182"/>
    <x v="1"/>
    <m/>
    <m/>
    <m/>
    <m/>
    <m/>
    <m/>
    <m/>
    <m/>
    <m/>
    <s v="N"/>
    <s v="Y"/>
  </r>
  <r>
    <s v="TSG_ENCL_PF"/>
    <n v="313884311"/>
    <n v="1115289614"/>
    <s v="681840-B21"/>
    <s v="HP BLc7000 1PH 2PS 4Fan Trl IC Plat Encl"/>
    <n v="2"/>
    <s v="4BJT42006186"/>
    <d v="2015-01-05T02:13:38"/>
    <d v="2015-01-09T00:00:00"/>
    <d v="2015-01-15T22:31:21"/>
    <d v="2015-01-06T04:30:00"/>
    <d v="2015-01-07T08:58:49"/>
    <d v="2015-01-08T10:42:53"/>
    <n v="50.200000762939453"/>
    <n v="182"/>
    <x v="1"/>
    <m/>
    <m/>
    <m/>
    <m/>
    <m/>
    <m/>
    <m/>
    <m/>
    <m/>
    <s v="N"/>
    <s v="Y"/>
  </r>
  <r>
    <s v="TSG_MLDL_PF"/>
    <n v="4051292939"/>
    <n v="1115343114"/>
    <s v="665554-B21 #AKM"/>
    <s v="HP DL380p Gen8 25-SFF CTO Server"/>
    <n v="12"/>
    <s v="4BJT41949876"/>
    <d v="2015-01-12T19:16:03"/>
    <d v="2015-01-15T00:00:00"/>
    <d v="2015-01-14T20:25:03"/>
    <d v="2015-01-13T15:30:00"/>
    <d v="2015-01-13T18:53:09"/>
    <d v="2015-01-14T18:20:04"/>
    <n v="26.799999237060547"/>
    <n v="35.900001525878906"/>
    <x v="0"/>
    <m/>
    <m/>
    <m/>
    <m/>
    <m/>
    <m/>
    <m/>
    <m/>
    <m/>
    <s v="N"/>
    <m/>
  </r>
  <r>
    <s v="TSG_MLDL_PF"/>
    <n v="313880941"/>
    <n v="1115286248"/>
    <s v="728551-B21 #AKM"/>
    <s v="HP DL580 Gen8 CTO Svr"/>
    <n v="2"/>
    <s v="429T42045513"/>
    <d v="2015-01-13T01:43:09"/>
    <d v="2015-01-19T00:00:00"/>
    <d v="2015-01-15T12:11:14"/>
    <d v="2015-01-14T11:30:00"/>
    <d v="2015-01-14T19:01:15"/>
    <d v="2015-01-15T10:27:07"/>
    <n v="23"/>
    <n v="51.700000762939453"/>
    <x v="0"/>
    <m/>
    <m/>
    <m/>
    <m/>
    <m/>
    <m/>
    <m/>
    <m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 chartFormat="2">
  <location ref="A28:B33" firstHeaderRow="1" firstDataRow="1" firstDataCol="1" rowPageCount="1" colPageCount="1"/>
  <pivotFields count="25">
    <pivotField showAll="0"/>
    <pivotField showAll="0"/>
    <pivotField showAll="0"/>
    <pivotField showAll="0"/>
    <pivotField showAll="0"/>
    <pivotField showAll="0"/>
    <pivotField showAll="0"/>
    <pivotField numFmtId="22" showAll="0"/>
    <pivotField showAll="0"/>
    <pivotField numFmtId="22" showAll="0"/>
    <pivotField numFmtId="22" showAll="0"/>
    <pivotField numFmtId="22" showAll="0"/>
    <pivotField numFmtId="22" showAll="0"/>
    <pivotField numFmtId="164" showAll="0"/>
    <pivotField numFmtId="164" showAll="0"/>
    <pivotField axis="axisPage" multipleItemSelectionAllowed="1" showAll="0">
      <items count="5">
        <item x="2"/>
        <item x="1"/>
        <item h="1" x="0"/>
        <item h="1" x="3"/>
        <item t="default"/>
      </items>
    </pivotField>
    <pivotField numFmtId="164" showAll="0"/>
    <pivotField numFmtId="165" showAll="0"/>
    <pivotField axis="axisRow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>
      <items count="12">
        <item x="6"/>
        <item x="8"/>
        <item x="4"/>
        <item x="10"/>
        <item x="3"/>
        <item x="7"/>
        <item x="9"/>
        <item x="1"/>
        <item x="5"/>
        <item x="2"/>
        <item x="0"/>
        <item t="default"/>
      </items>
    </pivotField>
    <pivotField showAll="0"/>
    <pivotField dataField="1" showAll="0"/>
    <pivotField showAll="0"/>
  </pivotFields>
  <rowFields count="1">
    <field x="18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15" hier="-1"/>
  </pageFields>
  <dataFields count="1">
    <dataField name="求和项:Qty2" fld="2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8" firstHeaderRow="1" firstDataRow="1" firstDataCol="1"/>
  <pivotFields count="27">
    <pivotField showAll="0"/>
    <pivotField showAll="0"/>
    <pivotField dataField="1" showAll="0"/>
    <pivotField showAll="0"/>
    <pivotField showAll="0"/>
    <pivotField showAll="0"/>
    <pivotField showAll="0"/>
    <pivotField numFmtId="22" showAll="0"/>
    <pivotField showAll="0"/>
    <pivotField numFmtId="22" showAll="0"/>
    <pivotField numFmtId="22" showAll="0"/>
    <pivotField numFmtId="22" showAll="0"/>
    <pivotField numFmtId="22" showAll="0"/>
    <pivotField numFmtId="164" showAll="0"/>
    <pivotField numFmtId="164"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PLO#" fld="2" subtotal="count" baseField="15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5"/>
  <sheetViews>
    <sheetView workbookViewId="0">
      <selection activeCell="G28" sqref="G28"/>
    </sheetView>
  </sheetViews>
  <sheetFormatPr defaultRowHeight="15"/>
  <cols>
    <col min="1" max="1" width="35.85546875" customWidth="1"/>
    <col min="2" max="2" width="6.140625" customWidth="1"/>
    <col min="4" max="4" width="5.5703125" customWidth="1"/>
    <col min="5" max="5" width="12.7109375" customWidth="1"/>
    <col min="7" max="7" width="31.5703125" customWidth="1"/>
    <col min="8" max="10" width="13.7109375" customWidth="1"/>
  </cols>
  <sheetData>
    <row r="1" spans="1:5">
      <c r="A1" s="28" t="s">
        <v>110</v>
      </c>
      <c r="B1" s="26">
        <v>572</v>
      </c>
      <c r="C1" s="46" t="s">
        <v>113</v>
      </c>
      <c r="D1" s="47"/>
      <c r="E1" s="48"/>
    </row>
    <row r="2" spans="1:5">
      <c r="A2" s="57" t="s">
        <v>68</v>
      </c>
      <c r="B2" s="59">
        <v>318</v>
      </c>
      <c r="C2" s="49"/>
      <c r="D2" s="50"/>
      <c r="E2" s="51"/>
    </row>
    <row r="3" spans="1:5">
      <c r="A3" s="58"/>
      <c r="B3" s="60"/>
      <c r="C3" s="52"/>
      <c r="D3" s="53"/>
      <c r="E3" s="54"/>
    </row>
    <row r="4" spans="1:5">
      <c r="A4" s="21" t="s">
        <v>69</v>
      </c>
      <c r="B4" s="23">
        <f>B3+B2</f>
        <v>318</v>
      </c>
      <c r="C4" s="24">
        <f>1-B4/$B$1</f>
        <v>0.44405594405594406</v>
      </c>
      <c r="D4" s="55" t="s">
        <v>108</v>
      </c>
      <c r="E4" s="56"/>
    </row>
    <row r="5" spans="1:5">
      <c r="A5" s="22" t="s">
        <v>70</v>
      </c>
      <c r="B5" s="9">
        <v>138</v>
      </c>
      <c r="C5" s="25">
        <f t="shared" ref="C5:C24" si="0">B5/$B$4</f>
        <v>0.43396226415094341</v>
      </c>
      <c r="D5" s="25"/>
      <c r="E5" s="9"/>
    </row>
    <row r="6" spans="1:5">
      <c r="A6" s="22" t="s">
        <v>109</v>
      </c>
      <c r="B6" s="9">
        <v>99</v>
      </c>
      <c r="C6" s="25">
        <f t="shared" si="0"/>
        <v>0.31132075471698112</v>
      </c>
      <c r="D6" s="25"/>
      <c r="E6" s="9"/>
    </row>
    <row r="7" spans="1:5">
      <c r="A7" s="22" t="s">
        <v>36</v>
      </c>
      <c r="B7" s="9">
        <v>57</v>
      </c>
      <c r="C7" s="25">
        <f t="shared" si="0"/>
        <v>0.17924528301886791</v>
      </c>
      <c r="D7" s="25"/>
      <c r="E7" s="9"/>
    </row>
    <row r="8" spans="1:5">
      <c r="A8" s="22" t="s">
        <v>71</v>
      </c>
      <c r="B8" s="9">
        <v>7</v>
      </c>
      <c r="C8" s="25">
        <f t="shared" si="0"/>
        <v>2.20125786163522E-2</v>
      </c>
      <c r="D8" s="25"/>
      <c r="E8" s="9"/>
    </row>
    <row r="9" spans="1:5">
      <c r="A9" s="22" t="s">
        <v>45</v>
      </c>
      <c r="B9" s="9">
        <v>5</v>
      </c>
      <c r="C9" s="25">
        <f t="shared" si="0"/>
        <v>1.5723270440251572E-2</v>
      </c>
      <c r="D9" s="25"/>
      <c r="E9" s="9"/>
    </row>
    <row r="10" spans="1:5">
      <c r="A10" s="22" t="s">
        <v>42</v>
      </c>
      <c r="B10" s="9">
        <v>3</v>
      </c>
      <c r="C10" s="25">
        <f t="shared" si="0"/>
        <v>9.433962264150943E-3</v>
      </c>
      <c r="D10" s="25"/>
      <c r="E10" s="9"/>
    </row>
    <row r="11" spans="1:5">
      <c r="A11" s="22" t="s">
        <v>49</v>
      </c>
      <c r="B11" s="9">
        <v>3</v>
      </c>
      <c r="C11" s="25">
        <f t="shared" si="0"/>
        <v>9.433962264150943E-3</v>
      </c>
      <c r="D11" s="25"/>
      <c r="E11" s="9"/>
    </row>
    <row r="12" spans="1:5">
      <c r="A12" s="22" t="s">
        <v>47</v>
      </c>
      <c r="B12" s="9">
        <v>3</v>
      </c>
      <c r="C12" s="25">
        <f t="shared" si="0"/>
        <v>9.433962264150943E-3</v>
      </c>
      <c r="D12" s="25"/>
      <c r="E12" s="9"/>
    </row>
    <row r="13" spans="1:5">
      <c r="A13" s="22" t="s">
        <v>39</v>
      </c>
      <c r="B13" s="9">
        <v>2</v>
      </c>
      <c r="C13" s="25">
        <f t="shared" si="0"/>
        <v>6.2893081761006293E-3</v>
      </c>
      <c r="D13" s="25"/>
      <c r="E13" s="9"/>
    </row>
    <row r="14" spans="1:5">
      <c r="A14" s="22" t="s">
        <v>76</v>
      </c>
      <c r="B14" s="9">
        <v>1</v>
      </c>
      <c r="C14" s="25">
        <f t="shared" si="0"/>
        <v>3.1446540880503146E-3</v>
      </c>
      <c r="D14" s="25"/>
      <c r="E14" s="9"/>
    </row>
    <row r="15" spans="1:5">
      <c r="A15" s="22" t="s">
        <v>66</v>
      </c>
      <c r="B15" s="9">
        <v>0</v>
      </c>
      <c r="C15" s="25">
        <f t="shared" si="0"/>
        <v>0</v>
      </c>
      <c r="D15" s="25"/>
      <c r="E15" s="9"/>
    </row>
    <row r="16" spans="1:5">
      <c r="A16" s="22" t="s">
        <v>51</v>
      </c>
      <c r="B16" s="9">
        <v>0</v>
      </c>
      <c r="C16" s="25">
        <f t="shared" si="0"/>
        <v>0</v>
      </c>
      <c r="D16" s="25"/>
      <c r="E16" s="9"/>
    </row>
    <row r="17" spans="1:5">
      <c r="A17" s="22" t="s">
        <v>30</v>
      </c>
      <c r="B17" s="9">
        <v>0</v>
      </c>
      <c r="C17" s="25">
        <f t="shared" si="0"/>
        <v>0</v>
      </c>
      <c r="D17" s="9"/>
      <c r="E17" s="9"/>
    </row>
    <row r="18" spans="1:5">
      <c r="A18" s="22" t="s">
        <v>27</v>
      </c>
      <c r="B18" s="9">
        <v>0</v>
      </c>
      <c r="C18" s="25">
        <f t="shared" si="0"/>
        <v>0</v>
      </c>
      <c r="D18" s="25"/>
      <c r="E18" s="9"/>
    </row>
    <row r="19" spans="1:5">
      <c r="A19" s="22" t="s">
        <v>55</v>
      </c>
      <c r="B19" s="9">
        <v>0</v>
      </c>
      <c r="C19" s="25">
        <f t="shared" si="0"/>
        <v>0</v>
      </c>
      <c r="D19" s="25"/>
      <c r="E19" s="9"/>
    </row>
    <row r="20" spans="1:5">
      <c r="A20" s="22" t="s">
        <v>58</v>
      </c>
      <c r="B20" s="9">
        <v>0</v>
      </c>
      <c r="C20" s="25">
        <f t="shared" si="0"/>
        <v>0</v>
      </c>
      <c r="D20" s="25"/>
      <c r="E20" s="9"/>
    </row>
    <row r="21" spans="1:5">
      <c r="A21" s="22" t="s">
        <v>24</v>
      </c>
      <c r="B21" s="9">
        <v>0</v>
      </c>
      <c r="C21" s="25">
        <f t="shared" si="0"/>
        <v>0</v>
      </c>
      <c r="D21" s="25"/>
      <c r="E21" s="9"/>
    </row>
    <row r="22" spans="1:5">
      <c r="A22" s="22" t="s">
        <v>61</v>
      </c>
      <c r="B22" s="9">
        <v>0</v>
      </c>
      <c r="C22" s="25">
        <f t="shared" si="0"/>
        <v>0</v>
      </c>
      <c r="D22" s="25"/>
      <c r="E22" s="9"/>
    </row>
    <row r="23" spans="1:5">
      <c r="A23" s="22" t="s">
        <v>33</v>
      </c>
      <c r="B23" s="9">
        <v>0</v>
      </c>
      <c r="C23" s="25">
        <f t="shared" si="0"/>
        <v>0</v>
      </c>
      <c r="D23" s="9"/>
      <c r="E23" s="9"/>
    </row>
    <row r="24" spans="1:5">
      <c r="A24" s="22" t="s">
        <v>75</v>
      </c>
      <c r="B24" s="9">
        <v>0</v>
      </c>
      <c r="C24" s="25">
        <f t="shared" si="0"/>
        <v>0</v>
      </c>
      <c r="D24" s="9"/>
      <c r="E24" s="9"/>
    </row>
    <row r="25" spans="1:5">
      <c r="A25" s="17"/>
      <c r="B25" s="18"/>
      <c r="C25" s="15"/>
      <c r="D25" s="16"/>
      <c r="E25" s="16"/>
    </row>
    <row r="26" spans="1:5">
      <c r="A26" s="13" t="s">
        <v>15</v>
      </c>
      <c r="B26" t="s">
        <v>82</v>
      </c>
      <c r="C26" s="15"/>
      <c r="D26" s="16"/>
      <c r="E26" s="16"/>
    </row>
    <row r="27" spans="1:5">
      <c r="C27" s="15"/>
      <c r="D27" s="16"/>
      <c r="E27" s="16"/>
    </row>
    <row r="28" spans="1:5">
      <c r="A28" s="13" t="s">
        <v>80</v>
      </c>
      <c r="B28" t="s">
        <v>95</v>
      </c>
      <c r="C28" s="15"/>
      <c r="D28" s="16"/>
      <c r="E28" s="16"/>
    </row>
    <row r="29" spans="1:5">
      <c r="A29" s="6" t="s">
        <v>32</v>
      </c>
      <c r="B29" s="14">
        <v>45</v>
      </c>
      <c r="C29" s="15"/>
      <c r="D29" s="16"/>
      <c r="E29" s="16"/>
    </row>
    <row r="30" spans="1:5">
      <c r="A30" s="6" t="s">
        <v>65</v>
      </c>
      <c r="B30" s="14">
        <v>159</v>
      </c>
      <c r="C30" s="15"/>
      <c r="D30" s="16"/>
      <c r="E30" s="16"/>
    </row>
    <row r="31" spans="1:5">
      <c r="A31" s="6" t="s">
        <v>41</v>
      </c>
      <c r="B31" s="14">
        <v>15</v>
      </c>
      <c r="C31" s="15"/>
      <c r="D31" s="16"/>
      <c r="E31" s="16"/>
    </row>
    <row r="32" spans="1:5">
      <c r="A32" s="6" t="s">
        <v>57</v>
      </c>
      <c r="B32" s="14">
        <v>99</v>
      </c>
      <c r="C32" s="15"/>
      <c r="D32" s="16"/>
      <c r="E32" s="16"/>
    </row>
    <row r="33" spans="1:5">
      <c r="A33" s="6" t="s">
        <v>81</v>
      </c>
      <c r="B33" s="14">
        <v>318</v>
      </c>
      <c r="C33" s="15"/>
      <c r="D33" s="16"/>
      <c r="E33" s="16"/>
    </row>
    <row r="34" spans="1:5">
      <c r="C34" s="15"/>
      <c r="D34" s="16"/>
      <c r="E34" s="16"/>
    </row>
    <row r="35" spans="1:5">
      <c r="C35" s="15"/>
      <c r="D35" s="16"/>
      <c r="E35" s="16"/>
    </row>
  </sheetData>
  <mergeCells count="4">
    <mergeCell ref="C1:E3"/>
    <mergeCell ref="D4:E4"/>
    <mergeCell ref="A2:A3"/>
    <mergeCell ref="B2:B3"/>
  </mergeCells>
  <phoneticPr fontId="3" type="noConversion"/>
  <pageMargins left="0.7" right="0.7" top="0.75" bottom="0.75" header="0.3" footer="0.3"/>
  <pageSetup paperSize="9" orientation="portrait" horizontalDpi="200" verticalDpi="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4"/>
  <sheetViews>
    <sheetView workbookViewId="0">
      <selection activeCell="G35" sqref="G35"/>
    </sheetView>
  </sheetViews>
  <sheetFormatPr defaultRowHeight="15"/>
  <cols>
    <col min="1" max="1" width="36" customWidth="1"/>
    <col min="2" max="2" width="5.42578125" customWidth="1"/>
    <col min="3" max="3" width="13.7109375" customWidth="1"/>
    <col min="4" max="4" width="13.140625" customWidth="1"/>
    <col min="5" max="5" width="17.85546875" hidden="1" customWidth="1"/>
    <col min="7" max="7" width="28.28515625" customWidth="1"/>
    <col min="8" max="8" width="17.85546875" customWidth="1"/>
  </cols>
  <sheetData>
    <row r="1" spans="1:5" ht="13.5" customHeight="1">
      <c r="A1" s="28" t="s">
        <v>110</v>
      </c>
      <c r="B1" s="26">
        <v>572</v>
      </c>
      <c r="C1" s="46" t="s">
        <v>113</v>
      </c>
      <c r="D1" s="47"/>
      <c r="E1" s="48"/>
    </row>
    <row r="2" spans="1:5">
      <c r="A2" s="11" t="s">
        <v>72</v>
      </c>
      <c r="B2" s="26">
        <v>1</v>
      </c>
      <c r="C2" s="49"/>
      <c r="D2" s="50"/>
      <c r="E2" s="51"/>
    </row>
    <row r="3" spans="1:5">
      <c r="A3" s="11" t="s">
        <v>73</v>
      </c>
      <c r="B3" s="26">
        <v>32</v>
      </c>
      <c r="C3" s="52"/>
      <c r="D3" s="53"/>
      <c r="E3" s="54"/>
    </row>
    <row r="4" spans="1:5">
      <c r="A4" s="7" t="s">
        <v>74</v>
      </c>
      <c r="B4" s="23">
        <f>B3+B2</f>
        <v>33</v>
      </c>
      <c r="C4" s="12">
        <f>1-B4/$B$1</f>
        <v>0.94230769230769229</v>
      </c>
      <c r="D4" s="55" t="s">
        <v>111</v>
      </c>
      <c r="E4" s="56"/>
    </row>
    <row r="5" spans="1:5">
      <c r="A5" s="8" t="s">
        <v>36</v>
      </c>
      <c r="B5" s="9">
        <v>1</v>
      </c>
      <c r="C5" s="10">
        <f t="shared" ref="C5:C24" si="0">B5/$B$4</f>
        <v>3.0303030303030304E-2</v>
      </c>
      <c r="D5" s="10"/>
      <c r="E5" s="3"/>
    </row>
    <row r="6" spans="1:5">
      <c r="A6" s="8" t="s">
        <v>112</v>
      </c>
      <c r="B6" s="9">
        <v>3</v>
      </c>
      <c r="C6" s="10">
        <f t="shared" si="0"/>
        <v>9.0909090909090912E-2</v>
      </c>
      <c r="D6" s="10"/>
      <c r="E6" s="3"/>
    </row>
    <row r="7" spans="1:5">
      <c r="A7" s="8" t="s">
        <v>42</v>
      </c>
      <c r="B7" s="9">
        <v>3</v>
      </c>
      <c r="C7" s="10">
        <f t="shared" si="0"/>
        <v>9.0909090909090912E-2</v>
      </c>
      <c r="D7" s="10"/>
      <c r="E7" s="3"/>
    </row>
    <row r="8" spans="1:5">
      <c r="A8" s="8" t="s">
        <v>109</v>
      </c>
      <c r="B8" s="9">
        <v>13</v>
      </c>
      <c r="C8" s="10">
        <f t="shared" si="0"/>
        <v>0.39393939393939392</v>
      </c>
      <c r="D8" s="10"/>
      <c r="E8" s="3"/>
    </row>
    <row r="9" spans="1:5">
      <c r="A9" s="8" t="s">
        <v>76</v>
      </c>
      <c r="B9" s="9">
        <v>1</v>
      </c>
      <c r="C9" s="10">
        <f t="shared" si="0"/>
        <v>3.0303030303030304E-2</v>
      </c>
      <c r="D9" s="10"/>
      <c r="E9" s="3"/>
    </row>
    <row r="10" spans="1:5">
      <c r="A10" s="8" t="s">
        <v>45</v>
      </c>
      <c r="B10" s="9">
        <v>3</v>
      </c>
      <c r="C10" s="10">
        <f t="shared" si="0"/>
        <v>9.0909090909090912E-2</v>
      </c>
      <c r="D10" s="10"/>
      <c r="E10" s="3"/>
    </row>
    <row r="11" spans="1:5">
      <c r="A11" s="8" t="s">
        <v>71</v>
      </c>
      <c r="B11" s="9">
        <v>3</v>
      </c>
      <c r="C11" s="10">
        <f t="shared" si="0"/>
        <v>9.0909090909090912E-2</v>
      </c>
      <c r="D11" s="10"/>
      <c r="E11" s="3"/>
    </row>
    <row r="12" spans="1:5">
      <c r="A12" s="8" t="s">
        <v>47</v>
      </c>
      <c r="B12" s="9">
        <v>4</v>
      </c>
      <c r="C12" s="10">
        <f t="shared" si="0"/>
        <v>0.12121212121212122</v>
      </c>
      <c r="D12" s="10"/>
      <c r="E12" s="3"/>
    </row>
    <row r="13" spans="1:5">
      <c r="A13" s="8" t="s">
        <v>66</v>
      </c>
      <c r="B13" s="9">
        <v>0</v>
      </c>
      <c r="C13" s="10">
        <f t="shared" si="0"/>
        <v>0</v>
      </c>
      <c r="D13" s="10"/>
      <c r="E13" s="3"/>
    </row>
    <row r="14" spans="1:5">
      <c r="A14" s="8" t="s">
        <v>39</v>
      </c>
      <c r="B14" s="9">
        <v>2</v>
      </c>
      <c r="C14" s="10">
        <f t="shared" si="0"/>
        <v>6.0606060606060608E-2</v>
      </c>
      <c r="D14" s="10"/>
      <c r="E14" s="3"/>
    </row>
    <row r="15" spans="1:5">
      <c r="A15" s="8" t="s">
        <v>51</v>
      </c>
      <c r="B15" s="9">
        <v>0</v>
      </c>
      <c r="C15" s="10">
        <f t="shared" si="0"/>
        <v>0</v>
      </c>
      <c r="D15" s="10"/>
      <c r="E15" s="3"/>
    </row>
    <row r="16" spans="1:5">
      <c r="A16" s="8" t="s">
        <v>27</v>
      </c>
      <c r="B16" s="9">
        <v>0</v>
      </c>
      <c r="C16" s="10">
        <f t="shared" si="0"/>
        <v>0</v>
      </c>
      <c r="D16" s="10"/>
      <c r="E16" s="3"/>
    </row>
    <row r="17" spans="1:5">
      <c r="A17" s="8" t="s">
        <v>30</v>
      </c>
      <c r="B17" s="9">
        <v>0</v>
      </c>
      <c r="C17" s="10">
        <f t="shared" si="0"/>
        <v>0</v>
      </c>
      <c r="D17" s="3"/>
      <c r="E17" s="3"/>
    </row>
    <row r="18" spans="1:5">
      <c r="A18" s="8" t="s">
        <v>55</v>
      </c>
      <c r="B18" s="9">
        <v>0</v>
      </c>
      <c r="C18" s="10">
        <f t="shared" si="0"/>
        <v>0</v>
      </c>
      <c r="D18" s="10"/>
      <c r="E18" s="3"/>
    </row>
    <row r="19" spans="1:5">
      <c r="A19" s="8" t="s">
        <v>70</v>
      </c>
      <c r="B19" s="9">
        <v>0</v>
      </c>
      <c r="C19" s="10">
        <f t="shared" si="0"/>
        <v>0</v>
      </c>
      <c r="D19" s="10"/>
      <c r="E19" s="3"/>
    </row>
    <row r="20" spans="1:5">
      <c r="A20" s="8" t="s">
        <v>58</v>
      </c>
      <c r="B20" s="9">
        <v>0</v>
      </c>
      <c r="C20" s="10">
        <f t="shared" si="0"/>
        <v>0</v>
      </c>
      <c r="D20" s="10"/>
      <c r="E20" s="3"/>
    </row>
    <row r="21" spans="1:5">
      <c r="A21" s="8" t="s">
        <v>24</v>
      </c>
      <c r="B21" s="9">
        <v>0</v>
      </c>
      <c r="C21" s="10">
        <f t="shared" si="0"/>
        <v>0</v>
      </c>
      <c r="D21" s="10"/>
      <c r="E21" s="3"/>
    </row>
    <row r="22" spans="1:5">
      <c r="A22" s="8" t="s">
        <v>75</v>
      </c>
      <c r="B22" s="9">
        <v>0</v>
      </c>
      <c r="C22" s="10">
        <f t="shared" si="0"/>
        <v>0</v>
      </c>
      <c r="D22" s="3"/>
      <c r="E22" s="3"/>
    </row>
    <row r="23" spans="1:5">
      <c r="A23" s="8" t="s">
        <v>61</v>
      </c>
      <c r="B23" s="9">
        <v>0</v>
      </c>
      <c r="C23" s="10">
        <f t="shared" si="0"/>
        <v>0</v>
      </c>
      <c r="D23" s="10"/>
      <c r="E23" s="3"/>
    </row>
    <row r="24" spans="1:5">
      <c r="A24" s="8" t="s">
        <v>33</v>
      </c>
      <c r="B24" s="9">
        <v>0</v>
      </c>
      <c r="C24" s="10">
        <f t="shared" si="0"/>
        <v>0</v>
      </c>
      <c r="D24" s="3"/>
      <c r="E24" s="3"/>
    </row>
  </sheetData>
  <mergeCells count="2">
    <mergeCell ref="C1:E3"/>
    <mergeCell ref="D4:E4"/>
  </mergeCells>
  <phoneticPr fontId="3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B8"/>
  <sheetViews>
    <sheetView workbookViewId="0">
      <selection activeCell="B7" sqref="A4:B7"/>
    </sheetView>
  </sheetViews>
  <sheetFormatPr defaultRowHeight="15"/>
  <cols>
    <col min="1" max="1" width="13.140625" bestFit="1" customWidth="1"/>
    <col min="2" max="2" width="13.5703125" bestFit="1" customWidth="1"/>
  </cols>
  <sheetData>
    <row r="3" spans="1:2">
      <c r="A3" s="13" t="s">
        <v>118</v>
      </c>
      <c r="B3" t="s">
        <v>124</v>
      </c>
    </row>
    <row r="4" spans="1:2">
      <c r="A4" s="6" t="s">
        <v>119</v>
      </c>
      <c r="B4" s="14">
        <v>192</v>
      </c>
    </row>
    <row r="5" spans="1:2">
      <c r="A5" s="6" t="s">
        <v>120</v>
      </c>
      <c r="B5" s="14">
        <v>54</v>
      </c>
    </row>
    <row r="6" spans="1:2">
      <c r="A6" s="6" t="s">
        <v>121</v>
      </c>
      <c r="B6" s="14">
        <v>213</v>
      </c>
    </row>
    <row r="7" spans="1:2">
      <c r="A7" s="6" t="s">
        <v>122</v>
      </c>
      <c r="B7" s="14">
        <v>2</v>
      </c>
    </row>
    <row r="8" spans="1:2">
      <c r="A8" s="6" t="s">
        <v>123</v>
      </c>
      <c r="B8" s="14">
        <v>461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F8"/>
  <sheetViews>
    <sheetView workbookViewId="0">
      <selection activeCell="F21" sqref="F21"/>
    </sheetView>
  </sheetViews>
  <sheetFormatPr defaultRowHeight="15"/>
  <cols>
    <col min="2" max="2" width="10.85546875" bestFit="1" customWidth="1"/>
    <col min="3" max="3" width="13.5703125" bestFit="1" customWidth="1"/>
    <col min="6" max="6" width="83.28515625" bestFit="1" customWidth="1"/>
  </cols>
  <sheetData>
    <row r="1" spans="2:6" ht="15.75" thickBot="1"/>
    <row r="2" spans="2:6">
      <c r="B2" s="30" t="s">
        <v>136</v>
      </c>
      <c r="C2" s="30" t="s">
        <v>125</v>
      </c>
      <c r="D2" s="30" t="s">
        <v>126</v>
      </c>
      <c r="E2" s="30" t="s">
        <v>127</v>
      </c>
      <c r="F2" s="32" t="s">
        <v>128</v>
      </c>
    </row>
    <row r="3" spans="2:6">
      <c r="B3" s="29" t="s">
        <v>119</v>
      </c>
      <c r="C3" s="31">
        <v>192</v>
      </c>
      <c r="D3">
        <v>236</v>
      </c>
      <c r="E3">
        <f>C3-D3</f>
        <v>-44</v>
      </c>
      <c r="F3" t="s">
        <v>601</v>
      </c>
    </row>
    <row r="4" spans="2:6">
      <c r="B4" s="29" t="s">
        <v>120</v>
      </c>
      <c r="C4" s="31">
        <v>54</v>
      </c>
      <c r="D4">
        <v>53</v>
      </c>
      <c r="E4">
        <f t="shared" ref="E4:E6" si="0">C4-D4</f>
        <v>1</v>
      </c>
      <c r="F4" t="s">
        <v>133</v>
      </c>
    </row>
    <row r="5" spans="2:6">
      <c r="B5" s="29" t="s">
        <v>121</v>
      </c>
      <c r="C5" s="31">
        <v>213</v>
      </c>
      <c r="D5">
        <v>172</v>
      </c>
      <c r="E5">
        <f t="shared" si="0"/>
        <v>41</v>
      </c>
      <c r="F5" t="s">
        <v>132</v>
      </c>
    </row>
    <row r="6" spans="2:6">
      <c r="B6" s="29" t="s">
        <v>122</v>
      </c>
      <c r="C6" s="31">
        <v>2</v>
      </c>
      <c r="E6">
        <f t="shared" si="0"/>
        <v>2</v>
      </c>
      <c r="F6" t="s">
        <v>131</v>
      </c>
    </row>
    <row r="7" spans="2:6">
      <c r="B7" s="29" t="s">
        <v>134</v>
      </c>
      <c r="C7" s="33">
        <f>1-SUM(C4,C6)/461</f>
        <v>0.87852494577006512</v>
      </c>
      <c r="D7" s="33">
        <f>1-SUM(D4,D6)/461</f>
        <v>0.88503253796095449</v>
      </c>
      <c r="E7" s="34">
        <f>C7-D7</f>
        <v>-6.5075921908893664E-3</v>
      </c>
    </row>
    <row r="8" spans="2:6">
      <c r="B8" s="29" t="s">
        <v>135</v>
      </c>
      <c r="C8" s="33">
        <f>1-SUM(C3,C4)/461</f>
        <v>0.46637744034707163</v>
      </c>
      <c r="D8" s="33">
        <f>1-SUM(D3,D4)/461</f>
        <v>0.3731019522776573</v>
      </c>
      <c r="E8" s="34">
        <f>C8-D8</f>
        <v>9.3275488069414325E-2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2"/>
  <sheetViews>
    <sheetView tabSelected="1" zoomScaleNormal="100" workbookViewId="0">
      <pane ySplit="1" topLeftCell="A2" activePane="bottomLeft" state="frozen"/>
      <selection pane="bottomLeft" activeCell="J8" sqref="J8"/>
    </sheetView>
  </sheetViews>
  <sheetFormatPr defaultColWidth="9.140625" defaultRowHeight="15"/>
  <cols>
    <col min="1" max="1" width="12.7109375" style="20" customWidth="1"/>
    <col min="2" max="2" width="10.42578125" style="20" customWidth="1"/>
    <col min="3" max="3" width="11.5703125" style="20" bestFit="1" customWidth="1"/>
    <col min="4" max="4" width="14.85546875" style="20" bestFit="1" customWidth="1"/>
    <col min="5" max="5" width="45" style="20" hidden="1" customWidth="1"/>
    <col min="6" max="6" width="4.5703125" style="20" hidden="1" customWidth="1"/>
    <col min="7" max="7" width="13.85546875" style="20" hidden="1" customWidth="1"/>
    <col min="8" max="8" width="15.85546875" style="20" customWidth="1"/>
    <col min="9" max="9" width="14.85546875" style="20" customWidth="1"/>
    <col min="10" max="10" width="14.85546875" style="36" customWidth="1"/>
    <col min="11" max="11" width="20.42578125" style="37" customWidth="1"/>
    <col min="12" max="12" width="16.42578125" style="36" customWidth="1"/>
    <col min="13" max="13" width="15.85546875" style="36" customWidth="1"/>
    <col min="14" max="14" width="8" style="20" customWidth="1"/>
    <col min="15" max="15" width="7" style="20" customWidth="1"/>
    <col min="16" max="16" width="7.42578125" style="20" customWidth="1"/>
    <col min="17" max="17" width="7.85546875" style="20" customWidth="1"/>
    <col min="18" max="18" width="7.5703125" style="20" customWidth="1"/>
    <col min="19" max="19" width="18.42578125" style="20" customWidth="1"/>
    <col min="20" max="20" width="14.5703125" style="20" customWidth="1"/>
    <col min="21" max="21" width="8.140625" style="20" customWidth="1"/>
    <col min="22" max="22" width="12.7109375" style="20" customWidth="1"/>
    <col min="23" max="23" width="11.42578125" style="20" customWidth="1"/>
    <col min="24" max="24" width="6.140625" style="20" customWidth="1"/>
    <col min="25" max="25" width="58.5703125" style="20" customWidth="1"/>
    <col min="26" max="26" width="9.140625" style="20" customWidth="1"/>
    <col min="27" max="27" width="14.140625" style="20" customWidth="1"/>
    <col min="28" max="30" width="9.140625" style="20"/>
    <col min="34" max="16384" width="9.140625" style="20"/>
  </cols>
  <sheetData>
    <row r="1" spans="1:29" ht="65.25" customHeight="1">
      <c r="A1" s="27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35" t="s">
        <v>86</v>
      </c>
      <c r="K1" s="35" t="s">
        <v>12</v>
      </c>
      <c r="L1" s="35" t="s">
        <v>9</v>
      </c>
      <c r="M1" s="35" t="s">
        <v>10</v>
      </c>
      <c r="N1" s="27" t="s">
        <v>13</v>
      </c>
      <c r="O1" s="27" t="s">
        <v>14</v>
      </c>
      <c r="P1" s="27" t="s">
        <v>15</v>
      </c>
      <c r="Q1" s="27" t="s">
        <v>83</v>
      </c>
      <c r="R1" s="27" t="s">
        <v>77</v>
      </c>
      <c r="S1" s="27" t="s">
        <v>16</v>
      </c>
      <c r="T1" s="27" t="s">
        <v>17</v>
      </c>
      <c r="U1" s="27" t="s">
        <v>18</v>
      </c>
      <c r="V1" s="27" t="s">
        <v>63</v>
      </c>
      <c r="W1" s="27" t="s">
        <v>64</v>
      </c>
      <c r="X1" s="27" t="s">
        <v>5</v>
      </c>
      <c r="Y1" s="27" t="s">
        <v>19</v>
      </c>
      <c r="Z1" s="27" t="s">
        <v>114</v>
      </c>
      <c r="AA1" s="27" t="s">
        <v>115</v>
      </c>
      <c r="AB1" s="38" t="s">
        <v>129</v>
      </c>
      <c r="AC1" s="38" t="s">
        <v>130</v>
      </c>
    </row>
    <row r="2" spans="1:29">
      <c r="A2" s="39" t="s">
        <v>11</v>
      </c>
      <c r="B2" s="39">
        <v>314041537</v>
      </c>
      <c r="C2" s="39">
        <v>1115502811</v>
      </c>
      <c r="D2" s="39" t="s">
        <v>602</v>
      </c>
      <c r="E2" s="40" t="s">
        <v>603</v>
      </c>
      <c r="F2" s="41">
        <v>100</v>
      </c>
      <c r="G2" s="40" t="s">
        <v>604</v>
      </c>
      <c r="H2" s="42">
        <v>42047.823935185188</v>
      </c>
      <c r="I2" s="43">
        <v>42051</v>
      </c>
      <c r="J2" s="42">
        <v>42050.192546296297</v>
      </c>
      <c r="K2" s="44">
        <v>42048.208333333336</v>
      </c>
      <c r="L2" s="42">
        <v>42048.506307870368</v>
      </c>
      <c r="M2" s="42">
        <v>42050.036168981482</v>
      </c>
      <c r="N2" s="38">
        <v>43.900001525878906</v>
      </c>
      <c r="O2" s="38">
        <v>56.799999237060547</v>
      </c>
      <c r="P2" s="38" t="str">
        <f>IF(O2&gt;(60+1*24),IF(N2&gt;(42+1*24),"F&amp;P","F only"),IF(N2&lt;(42+1*24),"Ignore","P only"))</f>
        <v>Ignore</v>
      </c>
      <c r="Q2" s="38"/>
      <c r="R2" s="38"/>
      <c r="S2" s="38"/>
      <c r="T2" s="38"/>
      <c r="U2" s="38"/>
      <c r="V2" s="38"/>
      <c r="W2" s="38"/>
      <c r="X2" s="38"/>
      <c r="Y2" s="45" t="s">
        <v>605</v>
      </c>
      <c r="Z2" s="38"/>
      <c r="AA2" s="38"/>
      <c r="AB2" s="38"/>
      <c r="AC2" s="38"/>
    </row>
  </sheetData>
  <phoneticPr fontId="3" type="noConversion"/>
  <conditionalFormatting sqref="G1:G1048576">
    <cfRule type="duplicateValues" dxfId="6" priority="3"/>
    <cfRule type="duplicateValues" dxfId="5" priority="89"/>
    <cfRule type="duplicateValues" dxfId="4" priority="90"/>
    <cfRule type="duplicateValues" dxfId="3" priority="91"/>
  </conditionalFormatting>
  <conditionalFormatting sqref="C1:C1048576">
    <cfRule type="duplicateValues" dxfId="2" priority="98"/>
    <cfRule type="duplicateValues" dxfId="1" priority="99"/>
  </conditionalFormatting>
  <conditionalFormatting sqref="K1:K1048576">
    <cfRule type="duplicateValues" dxfId="0" priority="142"/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utofill">
                <anchor moveWithCells="1" sizeWithCells="1">
                  <from>
                    <xdr:col>0</xdr:col>
                    <xdr:colOff>0</xdr:colOff>
                    <xdr:row>0</xdr:row>
                    <xdr:rowOff>76200</xdr:rowOff>
                  </from>
                  <to>
                    <xdr:col>2</xdr:col>
                    <xdr:colOff>219075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5" name="Button 27">
              <controlPr defaultSize="0" print="0" autoFill="0" autoPict="0" macro="[0]!grasp">
                <anchor moveWithCells="1" sizeWithCells="1">
                  <from>
                    <xdr:col>3</xdr:col>
                    <xdr:colOff>190500</xdr:colOff>
                    <xdr:row>0</xdr:row>
                    <xdr:rowOff>152400</xdr:rowOff>
                  </from>
                  <to>
                    <xdr:col>4</xdr:col>
                    <xdr:colOff>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836"/>
  <sheetViews>
    <sheetView workbookViewId="0">
      <selection sqref="A1:C1048576"/>
    </sheetView>
  </sheetViews>
  <sheetFormatPr defaultRowHeight="15"/>
  <cols>
    <col min="1" max="1" width="11" style="20" bestFit="1" customWidth="1"/>
    <col min="2" max="3" width="9.140625" style="20"/>
  </cols>
  <sheetData>
    <row r="1" spans="1:3">
      <c r="A1" s="20" t="s">
        <v>137</v>
      </c>
      <c r="B1" s="20" t="s">
        <v>138</v>
      </c>
      <c r="C1" s="20" t="s">
        <v>139</v>
      </c>
    </row>
    <row r="2" spans="1:3">
      <c r="A2" s="20">
        <v>1115294312</v>
      </c>
      <c r="B2" s="20" t="s">
        <v>116</v>
      </c>
      <c r="C2" s="20" t="s">
        <v>140</v>
      </c>
    </row>
    <row r="3" spans="1:3">
      <c r="A3" s="20">
        <v>1115125370</v>
      </c>
      <c r="B3" s="20" t="s">
        <v>116</v>
      </c>
      <c r="C3" s="20" t="s">
        <v>141</v>
      </c>
    </row>
    <row r="4" spans="1:3">
      <c r="A4" s="20">
        <v>1115312648</v>
      </c>
      <c r="B4" s="20" t="s">
        <v>116</v>
      </c>
      <c r="C4" s="20" t="s">
        <v>142</v>
      </c>
    </row>
    <row r="5" spans="1:3">
      <c r="A5" s="20">
        <v>1115294316</v>
      </c>
      <c r="B5" s="20" t="s">
        <v>116</v>
      </c>
      <c r="C5" s="20" t="s">
        <v>143</v>
      </c>
    </row>
    <row r="6" spans="1:3">
      <c r="A6" s="20">
        <v>1115347494</v>
      </c>
      <c r="B6" s="20" t="s">
        <v>116</v>
      </c>
      <c r="C6" s="20" t="s">
        <v>144</v>
      </c>
    </row>
    <row r="7" spans="1:3">
      <c r="A7" s="20">
        <v>1115334829</v>
      </c>
      <c r="B7" s="20" t="s">
        <v>116</v>
      </c>
      <c r="C7" s="20" t="s">
        <v>145</v>
      </c>
    </row>
    <row r="8" spans="1:3">
      <c r="A8" s="20">
        <v>1115358250</v>
      </c>
      <c r="B8" s="20" t="s">
        <v>116</v>
      </c>
      <c r="C8" s="20" t="s">
        <v>146</v>
      </c>
    </row>
    <row r="9" spans="1:3">
      <c r="A9" s="20">
        <v>1115294321</v>
      </c>
      <c r="B9" s="20" t="s">
        <v>116</v>
      </c>
      <c r="C9" s="20" t="s">
        <v>147</v>
      </c>
    </row>
    <row r="10" spans="1:3">
      <c r="A10" s="20">
        <v>1115294805</v>
      </c>
      <c r="B10" s="20" t="s">
        <v>116</v>
      </c>
      <c r="C10" s="20" t="s">
        <v>148</v>
      </c>
    </row>
    <row r="11" spans="1:3">
      <c r="A11" s="20">
        <v>1115293649</v>
      </c>
      <c r="B11" s="20" t="s">
        <v>116</v>
      </c>
      <c r="C11" s="20" t="s">
        <v>149</v>
      </c>
    </row>
    <row r="12" spans="1:3">
      <c r="A12" s="20">
        <v>1115294317</v>
      </c>
      <c r="B12" s="20" t="s">
        <v>116</v>
      </c>
      <c r="C12" s="20" t="s">
        <v>150</v>
      </c>
    </row>
    <row r="13" spans="1:3">
      <c r="A13" s="20">
        <v>1115336079</v>
      </c>
      <c r="B13" s="20" t="s">
        <v>116</v>
      </c>
      <c r="C13" s="20" t="s">
        <v>151</v>
      </c>
    </row>
    <row r="14" spans="1:3">
      <c r="A14" s="20">
        <v>1115336173</v>
      </c>
      <c r="B14" s="20" t="s">
        <v>116</v>
      </c>
      <c r="C14" s="20" t="s">
        <v>152</v>
      </c>
    </row>
    <row r="15" spans="1:3">
      <c r="A15" s="20">
        <v>1115294319</v>
      </c>
      <c r="B15" s="20" t="s">
        <v>116</v>
      </c>
      <c r="C15" s="20" t="s">
        <v>153</v>
      </c>
    </row>
    <row r="16" spans="1:3">
      <c r="A16" s="20">
        <v>1115294799</v>
      </c>
      <c r="B16" s="20" t="s">
        <v>116</v>
      </c>
      <c r="C16" s="20" t="s">
        <v>154</v>
      </c>
    </row>
    <row r="17" spans="1:3">
      <c r="A17" s="20">
        <v>1115334611</v>
      </c>
      <c r="B17" s="20" t="s">
        <v>116</v>
      </c>
      <c r="C17" s="20" t="s">
        <v>155</v>
      </c>
    </row>
    <row r="18" spans="1:3">
      <c r="A18" s="20">
        <v>1115294018</v>
      </c>
      <c r="B18" s="20" t="s">
        <v>116</v>
      </c>
      <c r="C18" s="20" t="s">
        <v>156</v>
      </c>
    </row>
    <row r="19" spans="1:3">
      <c r="A19" s="20">
        <v>1115294313</v>
      </c>
      <c r="B19" s="20" t="s">
        <v>116</v>
      </c>
      <c r="C19" s="20" t="s">
        <v>157</v>
      </c>
    </row>
    <row r="20" spans="1:3">
      <c r="A20" s="20">
        <v>1115344483</v>
      </c>
      <c r="B20" s="20" t="s">
        <v>116</v>
      </c>
      <c r="C20" s="20" t="s">
        <v>158</v>
      </c>
    </row>
    <row r="21" spans="1:3">
      <c r="A21" s="20">
        <v>1115294019</v>
      </c>
      <c r="B21" s="20" t="s">
        <v>116</v>
      </c>
      <c r="C21" s="20" t="s">
        <v>159</v>
      </c>
    </row>
    <row r="22" spans="1:3">
      <c r="A22" s="20">
        <v>1115294323</v>
      </c>
      <c r="B22" s="20" t="s">
        <v>116</v>
      </c>
      <c r="C22" s="20" t="s">
        <v>160</v>
      </c>
    </row>
    <row r="23" spans="1:3">
      <c r="A23" s="20">
        <v>1115336290</v>
      </c>
      <c r="B23" s="20" t="s">
        <v>116</v>
      </c>
      <c r="C23" s="20" t="s">
        <v>161</v>
      </c>
    </row>
    <row r="24" spans="1:3">
      <c r="A24" s="20">
        <v>1115294020</v>
      </c>
      <c r="B24" s="20" t="s">
        <v>116</v>
      </c>
      <c r="C24" s="20" t="s">
        <v>162</v>
      </c>
    </row>
    <row r="25" spans="1:3">
      <c r="A25" s="20">
        <v>1115336288</v>
      </c>
      <c r="B25" s="20" t="s">
        <v>116</v>
      </c>
      <c r="C25" s="20" t="s">
        <v>163</v>
      </c>
    </row>
    <row r="26" spans="1:3">
      <c r="A26" s="20">
        <v>1115294314</v>
      </c>
      <c r="B26" s="20" t="s">
        <v>116</v>
      </c>
      <c r="C26" s="20" t="s">
        <v>164</v>
      </c>
    </row>
    <row r="27" spans="1:3">
      <c r="A27" s="20">
        <v>1115296044</v>
      </c>
      <c r="B27" s="20" t="s">
        <v>116</v>
      </c>
      <c r="C27" s="20" t="s">
        <v>165</v>
      </c>
    </row>
    <row r="28" spans="1:3">
      <c r="A28" s="20">
        <v>1115334718</v>
      </c>
      <c r="B28" s="20" t="s">
        <v>116</v>
      </c>
      <c r="C28" s="20" t="s">
        <v>166</v>
      </c>
    </row>
    <row r="29" spans="1:3">
      <c r="A29" s="20">
        <v>1115294326</v>
      </c>
      <c r="B29" s="20" t="s">
        <v>116</v>
      </c>
      <c r="C29" s="20" t="s">
        <v>167</v>
      </c>
    </row>
    <row r="30" spans="1:3">
      <c r="A30" s="20">
        <v>1115307852</v>
      </c>
      <c r="B30" s="20" t="s">
        <v>116</v>
      </c>
      <c r="C30" s="20" t="s">
        <v>168</v>
      </c>
    </row>
    <row r="31" spans="1:3">
      <c r="A31" s="20">
        <v>1115317615</v>
      </c>
      <c r="B31" s="20" t="s">
        <v>117</v>
      </c>
      <c r="C31" s="20" t="s">
        <v>169</v>
      </c>
    </row>
    <row r="32" spans="1:3">
      <c r="A32" s="20">
        <v>1115294324</v>
      </c>
      <c r="B32" s="20" t="s">
        <v>116</v>
      </c>
      <c r="C32" s="20" t="s">
        <v>170</v>
      </c>
    </row>
    <row r="33" spans="1:3">
      <c r="A33" s="20">
        <v>1115310677</v>
      </c>
      <c r="B33" s="20" t="s">
        <v>117</v>
      </c>
      <c r="C33" s="20" t="s">
        <v>171</v>
      </c>
    </row>
    <row r="34" spans="1:3">
      <c r="A34" s="20">
        <v>1115291867</v>
      </c>
      <c r="B34" s="20" t="s">
        <v>116</v>
      </c>
      <c r="C34" s="20" t="s">
        <v>172</v>
      </c>
    </row>
    <row r="35" spans="1:3">
      <c r="A35" s="20">
        <v>1115297121</v>
      </c>
      <c r="B35" s="20" t="s">
        <v>116</v>
      </c>
      <c r="C35" s="20" t="s">
        <v>173</v>
      </c>
    </row>
    <row r="36" spans="1:3">
      <c r="A36" s="20">
        <v>1115291874</v>
      </c>
      <c r="B36" s="20" t="s">
        <v>116</v>
      </c>
      <c r="C36" s="20" t="s">
        <v>174</v>
      </c>
    </row>
    <row r="37" spans="1:3">
      <c r="A37" s="20">
        <v>1115294315</v>
      </c>
      <c r="B37" s="20" t="s">
        <v>116</v>
      </c>
      <c r="C37" s="20" t="s">
        <v>175</v>
      </c>
    </row>
    <row r="38" spans="1:3">
      <c r="A38" s="20">
        <v>1115293733</v>
      </c>
      <c r="B38" s="20" t="s">
        <v>116</v>
      </c>
      <c r="C38" s="20" t="s">
        <v>176</v>
      </c>
    </row>
    <row r="39" spans="1:3">
      <c r="A39" s="20">
        <v>1115294328</v>
      </c>
      <c r="B39" s="20" t="s">
        <v>116</v>
      </c>
      <c r="C39" s="20" t="s">
        <v>177</v>
      </c>
    </row>
    <row r="40" spans="1:3">
      <c r="A40" s="20">
        <v>1115336023</v>
      </c>
      <c r="B40" s="20" t="s">
        <v>116</v>
      </c>
      <c r="C40" s="20" t="s">
        <v>178</v>
      </c>
    </row>
    <row r="41" spans="1:3">
      <c r="A41" s="20">
        <v>1115264465</v>
      </c>
      <c r="B41" s="20" t="s">
        <v>116</v>
      </c>
      <c r="C41" s="20" t="s">
        <v>179</v>
      </c>
    </row>
    <row r="42" spans="1:3">
      <c r="A42" s="20">
        <v>1115291835</v>
      </c>
      <c r="B42" s="20" t="s">
        <v>116</v>
      </c>
      <c r="C42" s="20" t="s">
        <v>180</v>
      </c>
    </row>
    <row r="43" spans="1:3">
      <c r="A43" s="20">
        <v>1115336019</v>
      </c>
      <c r="B43" s="20" t="s">
        <v>116</v>
      </c>
      <c r="C43" s="20" t="s">
        <v>181</v>
      </c>
    </row>
    <row r="44" spans="1:3">
      <c r="A44" s="20">
        <v>1115328101</v>
      </c>
      <c r="B44" s="20" t="s">
        <v>116</v>
      </c>
      <c r="C44" s="20" t="s">
        <v>182</v>
      </c>
    </row>
    <row r="45" spans="1:3">
      <c r="A45" s="20">
        <v>1115291836</v>
      </c>
      <c r="B45" s="20" t="s">
        <v>116</v>
      </c>
      <c r="C45" s="20" t="s">
        <v>183</v>
      </c>
    </row>
    <row r="46" spans="1:3">
      <c r="A46" s="20">
        <v>1115314510</v>
      </c>
      <c r="B46" s="20" t="s">
        <v>116</v>
      </c>
      <c r="C46" s="20" t="s">
        <v>184</v>
      </c>
    </row>
    <row r="47" spans="1:3">
      <c r="A47" s="20">
        <v>1115328099</v>
      </c>
      <c r="B47" s="20" t="s">
        <v>116</v>
      </c>
      <c r="C47" s="20" t="s">
        <v>185</v>
      </c>
    </row>
    <row r="48" spans="1:3">
      <c r="A48" s="20">
        <v>1115324151</v>
      </c>
      <c r="B48" s="20" t="s">
        <v>116</v>
      </c>
      <c r="C48" s="20" t="s">
        <v>186</v>
      </c>
    </row>
    <row r="49" spans="1:3">
      <c r="A49" s="20">
        <v>1115295436</v>
      </c>
      <c r="B49" s="20" t="s">
        <v>116</v>
      </c>
      <c r="C49" s="20" t="s">
        <v>187</v>
      </c>
    </row>
    <row r="50" spans="1:3">
      <c r="A50" s="20">
        <v>1115327248</v>
      </c>
      <c r="B50" s="20" t="s">
        <v>116</v>
      </c>
      <c r="C50" s="20" t="s">
        <v>188</v>
      </c>
    </row>
    <row r="51" spans="1:3">
      <c r="A51" s="20">
        <v>1115324147</v>
      </c>
      <c r="B51" s="20" t="s">
        <v>116</v>
      </c>
      <c r="C51" s="20" t="s">
        <v>189</v>
      </c>
    </row>
    <row r="52" spans="1:3">
      <c r="A52" s="20">
        <v>1115295447</v>
      </c>
      <c r="B52" s="20" t="s">
        <v>116</v>
      </c>
      <c r="C52" s="20" t="s">
        <v>190</v>
      </c>
    </row>
    <row r="53" spans="1:3">
      <c r="A53" s="20">
        <v>1115327242</v>
      </c>
      <c r="B53" s="20" t="s">
        <v>116</v>
      </c>
      <c r="C53" s="20" t="s">
        <v>191</v>
      </c>
    </row>
    <row r="54" spans="1:3">
      <c r="A54" s="20">
        <v>1115324148</v>
      </c>
      <c r="B54" s="20" t="s">
        <v>116</v>
      </c>
      <c r="C54" s="20" t="s">
        <v>192</v>
      </c>
    </row>
    <row r="55" spans="1:3">
      <c r="A55" s="20">
        <v>1115295445</v>
      </c>
      <c r="B55" s="20" t="s">
        <v>116</v>
      </c>
      <c r="C55" s="20" t="s">
        <v>193</v>
      </c>
    </row>
    <row r="56" spans="1:3">
      <c r="A56" s="20">
        <v>1115336345</v>
      </c>
      <c r="B56" s="20" t="s">
        <v>116</v>
      </c>
      <c r="C56" s="20" t="s">
        <v>194</v>
      </c>
    </row>
    <row r="57" spans="1:3">
      <c r="A57" s="20">
        <v>1115296046</v>
      </c>
      <c r="B57" s="20" t="s">
        <v>116</v>
      </c>
      <c r="C57" s="20" t="s">
        <v>195</v>
      </c>
    </row>
    <row r="58" spans="1:3">
      <c r="A58" s="20">
        <v>1115342486</v>
      </c>
      <c r="B58" s="20" t="s">
        <v>116</v>
      </c>
      <c r="C58" s="20" t="s">
        <v>196</v>
      </c>
    </row>
    <row r="59" spans="1:3">
      <c r="A59" s="20">
        <v>1115328434</v>
      </c>
      <c r="B59" s="20" t="s">
        <v>116</v>
      </c>
      <c r="C59" s="20" t="s">
        <v>197</v>
      </c>
    </row>
    <row r="60" spans="1:3">
      <c r="A60" s="20">
        <v>1115294787</v>
      </c>
      <c r="B60" s="20" t="s">
        <v>116</v>
      </c>
      <c r="C60" s="20" t="s">
        <v>198</v>
      </c>
    </row>
    <row r="61" spans="1:3">
      <c r="A61" s="20">
        <v>1115341372</v>
      </c>
      <c r="B61" s="20" t="s">
        <v>116</v>
      </c>
      <c r="C61" s="20" t="s">
        <v>199</v>
      </c>
    </row>
    <row r="62" spans="1:3">
      <c r="A62" s="20">
        <v>1115336018</v>
      </c>
      <c r="B62" s="20" t="s">
        <v>116</v>
      </c>
      <c r="C62" s="20" t="s">
        <v>200</v>
      </c>
    </row>
    <row r="63" spans="1:3">
      <c r="A63" s="20">
        <v>1115294785</v>
      </c>
      <c r="B63" s="20" t="s">
        <v>116</v>
      </c>
      <c r="C63" s="20" t="s">
        <v>201</v>
      </c>
    </row>
    <row r="64" spans="1:3">
      <c r="A64" s="20">
        <v>1115343641</v>
      </c>
      <c r="B64" s="20" t="s">
        <v>116</v>
      </c>
      <c r="C64" s="20" t="s">
        <v>202</v>
      </c>
    </row>
    <row r="65" spans="1:3">
      <c r="A65" s="20">
        <v>1115292998</v>
      </c>
      <c r="B65" s="20" t="s">
        <v>116</v>
      </c>
      <c r="C65" s="20" t="s">
        <v>203</v>
      </c>
    </row>
    <row r="66" spans="1:3">
      <c r="A66" s="20">
        <v>1115336992</v>
      </c>
      <c r="B66" s="20" t="s">
        <v>116</v>
      </c>
      <c r="C66" s="20" t="s">
        <v>204</v>
      </c>
    </row>
    <row r="67" spans="1:3">
      <c r="A67" s="20">
        <v>1115327247</v>
      </c>
      <c r="B67" s="20" t="s">
        <v>116</v>
      </c>
      <c r="C67" s="20" t="s">
        <v>205</v>
      </c>
    </row>
    <row r="68" spans="1:3">
      <c r="A68" s="20">
        <v>1115294960</v>
      </c>
      <c r="B68" s="20" t="s">
        <v>116</v>
      </c>
      <c r="C68" s="20" t="s">
        <v>206</v>
      </c>
    </row>
    <row r="69" spans="1:3">
      <c r="A69" s="20">
        <v>1115336990</v>
      </c>
      <c r="B69" s="20" t="s">
        <v>116</v>
      </c>
      <c r="C69" s="20" t="s">
        <v>207</v>
      </c>
    </row>
    <row r="70" spans="1:3">
      <c r="A70" s="20">
        <v>1115336026</v>
      </c>
      <c r="B70" s="20" t="s">
        <v>116</v>
      </c>
      <c r="C70" s="20" t="s">
        <v>208</v>
      </c>
    </row>
    <row r="71" spans="1:3">
      <c r="A71" s="20">
        <v>1115336991</v>
      </c>
      <c r="B71" s="20" t="s">
        <v>116</v>
      </c>
      <c r="C71" s="20" t="s">
        <v>209</v>
      </c>
    </row>
    <row r="72" spans="1:3">
      <c r="A72" s="20">
        <v>1115350996</v>
      </c>
      <c r="B72" s="20" t="s">
        <v>116</v>
      </c>
      <c r="C72" s="20" t="s">
        <v>210</v>
      </c>
    </row>
    <row r="73" spans="1:3">
      <c r="A73" s="20">
        <v>1115327029</v>
      </c>
      <c r="B73" s="20" t="s">
        <v>116</v>
      </c>
      <c r="C73" s="20" t="s">
        <v>211</v>
      </c>
    </row>
    <row r="74" spans="1:3">
      <c r="A74" s="20">
        <v>1115336989</v>
      </c>
      <c r="B74" s="20" t="s">
        <v>116</v>
      </c>
      <c r="C74" s="20" t="s">
        <v>212</v>
      </c>
    </row>
    <row r="75" spans="1:3">
      <c r="A75" s="20">
        <v>1115271286</v>
      </c>
      <c r="B75" s="20" t="s">
        <v>116</v>
      </c>
      <c r="C75" s="20" t="s">
        <v>213</v>
      </c>
    </row>
    <row r="76" spans="1:3">
      <c r="A76" s="20">
        <v>1115336369</v>
      </c>
      <c r="B76" s="20" t="s">
        <v>116</v>
      </c>
      <c r="C76" s="20" t="s">
        <v>214</v>
      </c>
    </row>
    <row r="77" spans="1:3">
      <c r="A77" s="20">
        <v>1115336097</v>
      </c>
      <c r="B77" s="20" t="s">
        <v>116</v>
      </c>
      <c r="C77" s="20" t="s">
        <v>215</v>
      </c>
    </row>
    <row r="78" spans="1:3">
      <c r="A78" s="20">
        <v>1115271287</v>
      </c>
      <c r="B78" s="20" t="s">
        <v>116</v>
      </c>
      <c r="C78" s="20" t="s">
        <v>216</v>
      </c>
    </row>
    <row r="79" spans="1:3">
      <c r="A79" s="20">
        <v>1115336025</v>
      </c>
      <c r="B79" s="20" t="s">
        <v>116</v>
      </c>
      <c r="C79" s="20" t="s">
        <v>217</v>
      </c>
    </row>
    <row r="80" spans="1:3">
      <c r="A80" s="20">
        <v>1115337322</v>
      </c>
      <c r="B80" s="20" t="s">
        <v>116</v>
      </c>
      <c r="C80" s="20" t="s">
        <v>218</v>
      </c>
    </row>
    <row r="81" spans="1:3">
      <c r="A81" s="20">
        <v>1115299871</v>
      </c>
      <c r="B81" s="20" t="s">
        <v>116</v>
      </c>
      <c r="C81" s="20" t="s">
        <v>219</v>
      </c>
    </row>
    <row r="82" spans="1:3">
      <c r="A82" s="20">
        <v>1115336012</v>
      </c>
      <c r="B82" s="20" t="s">
        <v>116</v>
      </c>
      <c r="C82" s="20" t="s">
        <v>220</v>
      </c>
    </row>
    <row r="83" spans="1:3">
      <c r="A83" s="20">
        <v>1115337323</v>
      </c>
      <c r="B83" s="20" t="s">
        <v>116</v>
      </c>
      <c r="C83" s="20" t="s">
        <v>221</v>
      </c>
    </row>
    <row r="84" spans="1:3">
      <c r="A84" s="20">
        <v>1115291947</v>
      </c>
      <c r="B84" s="20" t="s">
        <v>116</v>
      </c>
      <c r="C84" s="20" t="s">
        <v>222</v>
      </c>
    </row>
    <row r="85" spans="1:3">
      <c r="A85" s="20">
        <v>1115327384</v>
      </c>
      <c r="B85" s="20" t="s">
        <v>116</v>
      </c>
      <c r="C85" s="20" t="s">
        <v>223</v>
      </c>
    </row>
    <row r="86" spans="1:3">
      <c r="A86" s="20">
        <v>1115337448</v>
      </c>
      <c r="B86" s="20" t="s">
        <v>116</v>
      </c>
      <c r="C86" s="20" t="s">
        <v>224</v>
      </c>
    </row>
    <row r="87" spans="1:3">
      <c r="A87" s="20">
        <v>1115291949</v>
      </c>
      <c r="B87" s="20" t="s">
        <v>116</v>
      </c>
      <c r="C87" s="20" t="s">
        <v>225</v>
      </c>
    </row>
    <row r="88" spans="1:3">
      <c r="A88" s="20">
        <v>1115318224</v>
      </c>
      <c r="B88" s="20" t="s">
        <v>116</v>
      </c>
      <c r="C88" s="20" t="s">
        <v>226</v>
      </c>
    </row>
    <row r="89" spans="1:3">
      <c r="A89" s="20">
        <v>1115336337</v>
      </c>
      <c r="B89" s="20" t="s">
        <v>116</v>
      </c>
      <c r="C89" s="20" t="s">
        <v>227</v>
      </c>
    </row>
    <row r="90" spans="1:3">
      <c r="A90" s="20">
        <v>1115291950</v>
      </c>
      <c r="B90" s="20" t="s">
        <v>116</v>
      </c>
      <c r="C90" s="20" t="s">
        <v>228</v>
      </c>
    </row>
    <row r="91" spans="1:3">
      <c r="A91" s="20">
        <v>1115292358</v>
      </c>
      <c r="B91" s="20" t="s">
        <v>116</v>
      </c>
      <c r="C91" s="20" t="s">
        <v>229</v>
      </c>
    </row>
    <row r="92" spans="1:3">
      <c r="A92" s="20">
        <v>1115291948</v>
      </c>
      <c r="B92" s="20" t="s">
        <v>116</v>
      </c>
      <c r="C92" s="20" t="s">
        <v>230</v>
      </c>
    </row>
    <row r="93" spans="1:3">
      <c r="A93" s="20">
        <v>1115308302</v>
      </c>
      <c r="B93" s="20" t="s">
        <v>116</v>
      </c>
      <c r="C93" s="20" t="s">
        <v>231</v>
      </c>
    </row>
    <row r="94" spans="1:3">
      <c r="A94" s="20">
        <v>1115287480</v>
      </c>
      <c r="B94" s="20" t="s">
        <v>117</v>
      </c>
      <c r="C94" s="20" t="s">
        <v>232</v>
      </c>
    </row>
    <row r="95" spans="1:3">
      <c r="A95" s="20">
        <v>1115324149</v>
      </c>
      <c r="B95" s="20" t="s">
        <v>116</v>
      </c>
      <c r="C95" s="20" t="s">
        <v>233</v>
      </c>
    </row>
    <row r="96" spans="1:3">
      <c r="A96" s="20">
        <v>1115328096</v>
      </c>
      <c r="B96" s="20" t="s">
        <v>116</v>
      </c>
      <c r="C96" s="20" t="s">
        <v>234</v>
      </c>
    </row>
    <row r="97" spans="1:3">
      <c r="A97" s="20">
        <v>1115284878</v>
      </c>
      <c r="B97" s="20" t="s">
        <v>116</v>
      </c>
      <c r="C97" s="20" t="s">
        <v>235</v>
      </c>
    </row>
    <row r="98" spans="1:3">
      <c r="A98" s="20">
        <v>1115182378</v>
      </c>
      <c r="B98" s="20" t="s">
        <v>116</v>
      </c>
      <c r="C98" s="20" t="s">
        <v>236</v>
      </c>
    </row>
    <row r="99" spans="1:3">
      <c r="A99" s="20">
        <v>1115334130</v>
      </c>
      <c r="B99" s="20" t="s">
        <v>116</v>
      </c>
      <c r="C99" s="20" t="s">
        <v>237</v>
      </c>
    </row>
    <row r="100" spans="1:3">
      <c r="A100" s="20">
        <v>1115284881</v>
      </c>
      <c r="B100" s="20" t="s">
        <v>116</v>
      </c>
      <c r="C100" s="20" t="s">
        <v>238</v>
      </c>
    </row>
    <row r="101" spans="1:3">
      <c r="A101" s="20">
        <v>1115336020</v>
      </c>
      <c r="B101" s="20" t="s">
        <v>116</v>
      </c>
      <c r="C101" s="20" t="s">
        <v>239</v>
      </c>
    </row>
    <row r="102" spans="1:3">
      <c r="A102" s="20">
        <v>1115272289</v>
      </c>
      <c r="B102" s="20" t="s">
        <v>116</v>
      </c>
      <c r="C102" s="20" t="s">
        <v>240</v>
      </c>
    </row>
    <row r="103" spans="1:3">
      <c r="A103" s="20">
        <v>1115242114</v>
      </c>
      <c r="B103" s="20" t="s">
        <v>116</v>
      </c>
      <c r="C103" s="20" t="s">
        <v>241</v>
      </c>
    </row>
    <row r="104" spans="1:3">
      <c r="A104" s="20">
        <v>1115328822</v>
      </c>
      <c r="B104" s="20" t="s">
        <v>116</v>
      </c>
      <c r="C104" s="20" t="s">
        <v>242</v>
      </c>
    </row>
    <row r="105" spans="1:3">
      <c r="A105" s="20">
        <v>1115259000</v>
      </c>
      <c r="B105" s="20" t="s">
        <v>116</v>
      </c>
      <c r="C105" s="20" t="s">
        <v>243</v>
      </c>
    </row>
    <row r="106" spans="1:3">
      <c r="A106" s="20">
        <v>1115272290</v>
      </c>
      <c r="B106" s="20" t="s">
        <v>116</v>
      </c>
      <c r="C106" s="20" t="s">
        <v>244</v>
      </c>
    </row>
    <row r="107" spans="1:3">
      <c r="A107" s="20">
        <v>1115328821</v>
      </c>
      <c r="B107" s="20" t="s">
        <v>116</v>
      </c>
      <c r="C107" s="20" t="s">
        <v>245</v>
      </c>
    </row>
    <row r="108" spans="1:3">
      <c r="A108" s="20">
        <v>1115318406</v>
      </c>
      <c r="B108" s="20" t="s">
        <v>116</v>
      </c>
      <c r="C108" s="20" t="s">
        <v>246</v>
      </c>
    </row>
    <row r="109" spans="1:3">
      <c r="A109" s="20">
        <v>1115286209</v>
      </c>
      <c r="B109" s="20" t="s">
        <v>116</v>
      </c>
      <c r="C109" s="20" t="s">
        <v>247</v>
      </c>
    </row>
    <row r="110" spans="1:3">
      <c r="A110" s="20">
        <v>1115338032</v>
      </c>
      <c r="B110" s="20" t="s">
        <v>116</v>
      </c>
      <c r="C110" s="20" t="s">
        <v>248</v>
      </c>
    </row>
    <row r="111" spans="1:3">
      <c r="A111" s="20">
        <v>1115328816</v>
      </c>
      <c r="B111" s="20" t="s">
        <v>116</v>
      </c>
      <c r="C111" s="20" t="s">
        <v>249</v>
      </c>
    </row>
    <row r="112" spans="1:3">
      <c r="A112" s="20">
        <v>1115289614</v>
      </c>
      <c r="B112" s="20" t="s">
        <v>116</v>
      </c>
      <c r="C112" s="20" t="s">
        <v>250</v>
      </c>
    </row>
    <row r="113" spans="1:3">
      <c r="A113" s="20">
        <v>1115338035</v>
      </c>
      <c r="B113" s="20" t="s">
        <v>116</v>
      </c>
      <c r="C113" s="20" t="s">
        <v>251</v>
      </c>
    </row>
    <row r="114" spans="1:3">
      <c r="A114" s="20">
        <v>1115328814</v>
      </c>
      <c r="B114" s="20" t="s">
        <v>116</v>
      </c>
      <c r="C114" s="20" t="s">
        <v>252</v>
      </c>
    </row>
    <row r="115" spans="1:3">
      <c r="A115" s="20">
        <v>1115343114</v>
      </c>
      <c r="B115" s="20" t="s">
        <v>116</v>
      </c>
      <c r="C115" s="20" t="s">
        <v>253</v>
      </c>
    </row>
    <row r="116" spans="1:3">
      <c r="A116" s="20">
        <v>1115338036</v>
      </c>
      <c r="B116" s="20" t="s">
        <v>116</v>
      </c>
      <c r="C116" s="20" t="s">
        <v>254</v>
      </c>
    </row>
    <row r="117" spans="1:3">
      <c r="A117" s="20">
        <v>1115328107</v>
      </c>
      <c r="B117" s="20" t="s">
        <v>116</v>
      </c>
      <c r="C117" s="20" t="s">
        <v>255</v>
      </c>
    </row>
    <row r="118" spans="1:3">
      <c r="A118" s="20">
        <v>1115286248</v>
      </c>
      <c r="B118" s="20" t="s">
        <v>116</v>
      </c>
      <c r="C118" s="20" t="s">
        <v>256</v>
      </c>
    </row>
    <row r="119" spans="1:3">
      <c r="A119" s="20">
        <v>1115338037</v>
      </c>
      <c r="B119" s="20" t="s">
        <v>116</v>
      </c>
      <c r="C119" s="20" t="s">
        <v>257</v>
      </c>
    </row>
    <row r="120" spans="1:3">
      <c r="A120" s="20">
        <v>1115328104</v>
      </c>
      <c r="B120" s="20" t="s">
        <v>116</v>
      </c>
      <c r="C120" s="20" t="s">
        <v>258</v>
      </c>
    </row>
    <row r="121" spans="1:3">
      <c r="A121" s="20">
        <v>1115338038</v>
      </c>
      <c r="B121" s="20" t="s">
        <v>116</v>
      </c>
      <c r="C121" s="20" t="s">
        <v>259</v>
      </c>
    </row>
    <row r="122" spans="1:3">
      <c r="A122" s="20">
        <v>1115328459</v>
      </c>
      <c r="B122" s="20" t="s">
        <v>116</v>
      </c>
      <c r="C122" s="20" t="s">
        <v>260</v>
      </c>
    </row>
    <row r="123" spans="1:3">
      <c r="A123" s="20">
        <v>1115338039</v>
      </c>
      <c r="B123" s="20" t="s">
        <v>116</v>
      </c>
      <c r="C123" s="20" t="s">
        <v>261</v>
      </c>
    </row>
    <row r="124" spans="1:3">
      <c r="A124" s="20">
        <v>1115327244</v>
      </c>
      <c r="B124" s="20" t="s">
        <v>116</v>
      </c>
      <c r="C124" s="20" t="s">
        <v>262</v>
      </c>
    </row>
    <row r="125" spans="1:3">
      <c r="A125" s="20">
        <v>1115338040</v>
      </c>
      <c r="B125" s="20" t="s">
        <v>116</v>
      </c>
      <c r="C125" s="20" t="s">
        <v>263</v>
      </c>
    </row>
    <row r="126" spans="1:3">
      <c r="A126" s="20">
        <v>1115328097</v>
      </c>
      <c r="B126" s="20" t="s">
        <v>116</v>
      </c>
      <c r="C126" s="20" t="s">
        <v>264</v>
      </c>
    </row>
    <row r="127" spans="1:3">
      <c r="A127" s="20">
        <v>1115334066</v>
      </c>
      <c r="B127" s="20" t="s">
        <v>116</v>
      </c>
      <c r="C127" s="20" t="s">
        <v>265</v>
      </c>
    </row>
    <row r="128" spans="1:3">
      <c r="A128" s="20">
        <v>1115328092</v>
      </c>
      <c r="B128" s="20" t="s">
        <v>116</v>
      </c>
      <c r="C128" s="20" t="s">
        <v>266</v>
      </c>
    </row>
    <row r="129" spans="1:3">
      <c r="A129" s="20">
        <v>1115338185</v>
      </c>
      <c r="B129" s="20" t="s">
        <v>116</v>
      </c>
      <c r="C129" s="20" t="s">
        <v>267</v>
      </c>
    </row>
    <row r="130" spans="1:3">
      <c r="A130" s="20">
        <v>1115328456</v>
      </c>
      <c r="B130" s="20" t="s">
        <v>116</v>
      </c>
      <c r="C130" s="20" t="s">
        <v>268</v>
      </c>
    </row>
    <row r="131" spans="1:3">
      <c r="A131" s="20">
        <v>1115304069</v>
      </c>
      <c r="B131" s="20" t="s">
        <v>116</v>
      </c>
      <c r="C131" s="20" t="s">
        <v>269</v>
      </c>
    </row>
    <row r="132" spans="1:3">
      <c r="A132" s="20">
        <v>1115328453</v>
      </c>
      <c r="B132" s="20" t="s">
        <v>116</v>
      </c>
      <c r="C132" s="20" t="s">
        <v>270</v>
      </c>
    </row>
    <row r="133" spans="1:3">
      <c r="A133" s="20">
        <v>1115293648</v>
      </c>
      <c r="B133" s="20" t="s">
        <v>116</v>
      </c>
      <c r="C133" s="20" t="s">
        <v>271</v>
      </c>
    </row>
    <row r="134" spans="1:3">
      <c r="A134" s="20">
        <v>1115331053</v>
      </c>
      <c r="B134" s="20" t="s">
        <v>116</v>
      </c>
      <c r="C134" s="20" t="s">
        <v>272</v>
      </c>
    </row>
    <row r="135" spans="1:3">
      <c r="A135" s="20">
        <v>1115294808</v>
      </c>
      <c r="B135" s="20" t="s">
        <v>116</v>
      </c>
      <c r="C135" s="20" t="s">
        <v>273</v>
      </c>
    </row>
    <row r="136" spans="1:3">
      <c r="A136" s="20">
        <v>1115331061</v>
      </c>
      <c r="B136" s="20" t="s">
        <v>116</v>
      </c>
      <c r="C136" s="20" t="s">
        <v>274</v>
      </c>
    </row>
    <row r="137" spans="1:3">
      <c r="A137" s="20">
        <v>1115294965</v>
      </c>
      <c r="B137" s="20" t="s">
        <v>116</v>
      </c>
      <c r="C137" s="20" t="s">
        <v>275</v>
      </c>
    </row>
    <row r="138" spans="1:3">
      <c r="A138" s="20">
        <v>1115295452</v>
      </c>
      <c r="B138" s="20" t="s">
        <v>116</v>
      </c>
      <c r="C138" s="20" t="s">
        <v>276</v>
      </c>
    </row>
    <row r="139" spans="1:3">
      <c r="A139" s="20">
        <v>1115291849</v>
      </c>
      <c r="B139" s="20" t="s">
        <v>116</v>
      </c>
      <c r="C139" s="20" t="s">
        <v>277</v>
      </c>
    </row>
    <row r="140" spans="1:3">
      <c r="A140" s="20">
        <v>1115296224</v>
      </c>
      <c r="B140" s="20" t="s">
        <v>116</v>
      </c>
      <c r="C140" s="20" t="s">
        <v>278</v>
      </c>
    </row>
    <row r="141" spans="1:3">
      <c r="A141" s="20">
        <v>1115272294</v>
      </c>
      <c r="B141" s="20" t="s">
        <v>116</v>
      </c>
      <c r="C141" s="20" t="s">
        <v>279</v>
      </c>
    </row>
    <row r="142" spans="1:3">
      <c r="A142" s="20">
        <v>1115296227</v>
      </c>
      <c r="B142" s="20" t="s">
        <v>116</v>
      </c>
      <c r="C142" s="20" t="s">
        <v>280</v>
      </c>
    </row>
    <row r="143" spans="1:3">
      <c r="A143" s="20">
        <v>1115317614</v>
      </c>
      <c r="B143" s="20" t="s">
        <v>117</v>
      </c>
      <c r="C143" s="20" t="s">
        <v>281</v>
      </c>
    </row>
    <row r="144" spans="1:3">
      <c r="A144" s="20">
        <v>1115330187</v>
      </c>
      <c r="B144" s="20" t="s">
        <v>116</v>
      </c>
      <c r="C144" s="20" t="s">
        <v>282</v>
      </c>
    </row>
    <row r="145" spans="1:3">
      <c r="A145" s="20">
        <v>1115317613</v>
      </c>
      <c r="B145" s="20" t="s">
        <v>117</v>
      </c>
      <c r="C145" s="20" t="s">
        <v>283</v>
      </c>
    </row>
    <row r="146" spans="1:3">
      <c r="A146" s="20">
        <v>1115357673</v>
      </c>
      <c r="B146" s="20" t="s">
        <v>116</v>
      </c>
      <c r="C146" s="20" t="s">
        <v>284</v>
      </c>
    </row>
    <row r="147" spans="1:3">
      <c r="A147" s="20">
        <v>1115317612</v>
      </c>
      <c r="B147" s="20" t="s">
        <v>117</v>
      </c>
      <c r="C147" s="20" t="s">
        <v>285</v>
      </c>
    </row>
    <row r="148" spans="1:3">
      <c r="A148" s="20">
        <v>1115294373</v>
      </c>
      <c r="B148" s="20" t="s">
        <v>116</v>
      </c>
      <c r="C148" s="20" t="s">
        <v>286</v>
      </c>
    </row>
    <row r="149" spans="1:3">
      <c r="A149" s="20">
        <v>1115310711</v>
      </c>
      <c r="B149" s="20" t="s">
        <v>117</v>
      </c>
      <c r="C149" s="20" t="s">
        <v>287</v>
      </c>
    </row>
    <row r="150" spans="1:3">
      <c r="A150" s="20">
        <v>1115290299</v>
      </c>
      <c r="B150" s="20" t="s">
        <v>116</v>
      </c>
      <c r="C150" s="20" t="s">
        <v>288</v>
      </c>
    </row>
    <row r="151" spans="1:3">
      <c r="A151" s="20">
        <v>1115280519</v>
      </c>
      <c r="B151" s="20" t="s">
        <v>116</v>
      </c>
      <c r="C151" s="20" t="s">
        <v>289</v>
      </c>
    </row>
    <row r="152" spans="1:3">
      <c r="A152" s="20">
        <v>1115282514</v>
      </c>
      <c r="B152" s="20" t="s">
        <v>116</v>
      </c>
      <c r="C152" s="20" t="s">
        <v>290</v>
      </c>
    </row>
    <row r="153" spans="1:3">
      <c r="A153" s="20">
        <v>1115290298</v>
      </c>
      <c r="B153" s="20" t="s">
        <v>116</v>
      </c>
      <c r="C153" s="20" t="s">
        <v>291</v>
      </c>
    </row>
    <row r="154" spans="1:3">
      <c r="A154" s="20">
        <v>1115296220</v>
      </c>
      <c r="B154" s="20" t="s">
        <v>116</v>
      </c>
      <c r="C154" s="20" t="s">
        <v>292</v>
      </c>
    </row>
    <row r="155" spans="1:3">
      <c r="A155" s="20">
        <v>1115272295</v>
      </c>
      <c r="B155" s="20" t="s">
        <v>116</v>
      </c>
      <c r="C155" s="20" t="s">
        <v>293</v>
      </c>
    </row>
    <row r="156" spans="1:3">
      <c r="A156" s="20">
        <v>1115331060</v>
      </c>
      <c r="B156" s="20" t="s">
        <v>116</v>
      </c>
      <c r="C156" s="20" t="s">
        <v>294</v>
      </c>
    </row>
    <row r="157" spans="1:3">
      <c r="A157" s="20">
        <v>1115321296</v>
      </c>
      <c r="B157" s="20" t="s">
        <v>116</v>
      </c>
      <c r="C157" s="20" t="s">
        <v>295</v>
      </c>
    </row>
    <row r="158" spans="1:3">
      <c r="A158" s="20">
        <v>1115331062</v>
      </c>
      <c r="B158" s="20" t="s">
        <v>116</v>
      </c>
      <c r="C158" s="20" t="s">
        <v>296</v>
      </c>
    </row>
    <row r="159" spans="1:3">
      <c r="A159" s="20">
        <v>1115321290</v>
      </c>
      <c r="B159" s="20" t="s">
        <v>116</v>
      </c>
      <c r="C159" s="20" t="s">
        <v>297</v>
      </c>
    </row>
    <row r="160" spans="1:3">
      <c r="A160" s="20">
        <v>1115295199</v>
      </c>
      <c r="B160" s="20" t="s">
        <v>116</v>
      </c>
      <c r="C160" s="20" t="s">
        <v>298</v>
      </c>
    </row>
    <row r="161" spans="1:3">
      <c r="A161" s="20">
        <v>1115310692</v>
      </c>
      <c r="B161" s="20" t="s">
        <v>117</v>
      </c>
      <c r="C161" s="20" t="s">
        <v>299</v>
      </c>
    </row>
    <row r="162" spans="1:3">
      <c r="A162" s="20">
        <v>1115311452</v>
      </c>
      <c r="B162" s="20" t="s">
        <v>116</v>
      </c>
      <c r="C162" s="20" t="s">
        <v>300</v>
      </c>
    </row>
    <row r="163" spans="1:3">
      <c r="A163" s="20">
        <v>1115296036</v>
      </c>
      <c r="B163" s="20" t="s">
        <v>116</v>
      </c>
      <c r="C163" s="20" t="s">
        <v>301</v>
      </c>
    </row>
    <row r="164" spans="1:3">
      <c r="A164" s="20">
        <v>1115340040</v>
      </c>
      <c r="B164" s="20" t="s">
        <v>116</v>
      </c>
      <c r="C164" s="20" t="s">
        <v>302</v>
      </c>
    </row>
    <row r="165" spans="1:3">
      <c r="A165" s="20">
        <v>1115311451</v>
      </c>
      <c r="B165" s="20" t="s">
        <v>116</v>
      </c>
      <c r="C165" s="20" t="s">
        <v>303</v>
      </c>
    </row>
    <row r="166" spans="1:3">
      <c r="A166" s="20">
        <v>1115309991</v>
      </c>
      <c r="B166" s="20" t="s">
        <v>116</v>
      </c>
      <c r="C166" s="20" t="s">
        <v>304</v>
      </c>
    </row>
    <row r="167" spans="1:3">
      <c r="A167" s="20">
        <v>1115310676</v>
      </c>
      <c r="B167" s="20" t="s">
        <v>117</v>
      </c>
      <c r="C167" s="20" t="s">
        <v>305</v>
      </c>
    </row>
    <row r="168" spans="1:3">
      <c r="A168" s="20">
        <v>1115310673</v>
      </c>
      <c r="B168" s="20" t="s">
        <v>117</v>
      </c>
      <c r="C168" s="20" t="s">
        <v>306</v>
      </c>
    </row>
    <row r="169" spans="1:3">
      <c r="A169" s="20">
        <v>1115308980</v>
      </c>
      <c r="B169" s="20" t="s">
        <v>117</v>
      </c>
      <c r="C169" s="20" t="s">
        <v>307</v>
      </c>
    </row>
    <row r="170" spans="1:3">
      <c r="A170" s="20">
        <v>1115310670</v>
      </c>
      <c r="B170" s="20" t="s">
        <v>117</v>
      </c>
      <c r="C170" s="20" t="s">
        <v>308</v>
      </c>
    </row>
    <row r="171" spans="1:3">
      <c r="A171" s="20">
        <v>1115311644</v>
      </c>
      <c r="B171" s="20" t="s">
        <v>116</v>
      </c>
      <c r="C171" s="20" t="s">
        <v>309</v>
      </c>
    </row>
    <row r="172" spans="1:3">
      <c r="A172" s="20">
        <v>1115310665</v>
      </c>
      <c r="B172" s="20" t="s">
        <v>117</v>
      </c>
      <c r="C172" s="20" t="s">
        <v>310</v>
      </c>
    </row>
    <row r="173" spans="1:3">
      <c r="A173" s="20">
        <v>1115311646</v>
      </c>
      <c r="B173" s="20" t="s">
        <v>116</v>
      </c>
      <c r="C173" s="20" t="s">
        <v>311</v>
      </c>
    </row>
    <row r="174" spans="1:3">
      <c r="A174" s="20">
        <v>1115300437</v>
      </c>
      <c r="B174" s="20" t="s">
        <v>116</v>
      </c>
      <c r="C174" s="20" t="s">
        <v>312</v>
      </c>
    </row>
    <row r="175" spans="1:3">
      <c r="A175" s="20">
        <v>1115311647</v>
      </c>
      <c r="B175" s="20" t="s">
        <v>116</v>
      </c>
      <c r="C175" s="20" t="s">
        <v>313</v>
      </c>
    </row>
    <row r="176" spans="1:3">
      <c r="A176" s="20">
        <v>1115300438</v>
      </c>
      <c r="B176" s="20" t="s">
        <v>116</v>
      </c>
      <c r="C176" s="20" t="s">
        <v>314</v>
      </c>
    </row>
    <row r="177" spans="1:3">
      <c r="A177" s="20">
        <v>1115311645</v>
      </c>
      <c r="B177" s="20" t="s">
        <v>116</v>
      </c>
      <c r="C177" s="20" t="s">
        <v>315</v>
      </c>
    </row>
    <row r="178" spans="1:3">
      <c r="A178" s="20">
        <v>1115184365</v>
      </c>
      <c r="B178" s="20" t="s">
        <v>116</v>
      </c>
      <c r="C178" s="20" t="s">
        <v>316</v>
      </c>
    </row>
    <row r="179" spans="1:3">
      <c r="A179" s="20">
        <v>1115288224</v>
      </c>
      <c r="B179" s="20" t="s">
        <v>116</v>
      </c>
      <c r="C179" s="20" t="s">
        <v>317</v>
      </c>
    </row>
    <row r="180" spans="1:3">
      <c r="A180" s="20">
        <v>1115321011</v>
      </c>
      <c r="B180" s="20" t="s">
        <v>116</v>
      </c>
      <c r="C180" s="20" t="s">
        <v>318</v>
      </c>
    </row>
    <row r="181" spans="1:3">
      <c r="A181" s="20">
        <v>1115360715</v>
      </c>
      <c r="B181" s="20" t="s">
        <v>116</v>
      </c>
      <c r="C181" s="20" t="s">
        <v>319</v>
      </c>
    </row>
    <row r="182" spans="1:3">
      <c r="A182" s="20">
        <v>1115326912</v>
      </c>
      <c r="B182" s="20" t="s">
        <v>116</v>
      </c>
      <c r="C182" s="20" t="s">
        <v>320</v>
      </c>
    </row>
    <row r="183" spans="1:3">
      <c r="A183" s="20">
        <v>1115355710</v>
      </c>
      <c r="B183" s="20" t="s">
        <v>116</v>
      </c>
      <c r="C183" s="20" t="s">
        <v>321</v>
      </c>
    </row>
    <row r="184" spans="1:3">
      <c r="A184" s="20">
        <v>1115325823</v>
      </c>
      <c r="B184" s="20" t="s">
        <v>116</v>
      </c>
      <c r="C184" s="20" t="s">
        <v>322</v>
      </c>
    </row>
    <row r="185" spans="1:3">
      <c r="A185" s="20">
        <v>1115355709</v>
      </c>
      <c r="B185" s="20" t="s">
        <v>116</v>
      </c>
      <c r="C185" s="20" t="s">
        <v>323</v>
      </c>
    </row>
    <row r="186" spans="1:3">
      <c r="A186" s="20">
        <v>1115325822</v>
      </c>
      <c r="B186" s="20" t="s">
        <v>116</v>
      </c>
      <c r="C186" s="20" t="s">
        <v>324</v>
      </c>
    </row>
    <row r="187" spans="1:3">
      <c r="A187" s="20">
        <v>1115360714</v>
      </c>
      <c r="B187" s="20" t="s">
        <v>116</v>
      </c>
      <c r="C187" s="20" t="s">
        <v>325</v>
      </c>
    </row>
    <row r="188" spans="1:3">
      <c r="A188" s="20">
        <v>1115310684</v>
      </c>
      <c r="B188" s="20" t="s">
        <v>117</v>
      </c>
      <c r="C188" s="20" t="s">
        <v>326</v>
      </c>
    </row>
    <row r="189" spans="1:3">
      <c r="A189" s="20">
        <v>1115310683</v>
      </c>
      <c r="B189" s="20" t="s">
        <v>117</v>
      </c>
      <c r="C189" s="20" t="s">
        <v>327</v>
      </c>
    </row>
    <row r="190" spans="1:3">
      <c r="A190" s="20">
        <v>1115360713</v>
      </c>
      <c r="B190" s="20" t="s">
        <v>116</v>
      </c>
      <c r="C190" s="20" t="s">
        <v>328</v>
      </c>
    </row>
    <row r="191" spans="1:3">
      <c r="A191" s="20">
        <v>1115326360</v>
      </c>
      <c r="B191" s="20" t="s">
        <v>116</v>
      </c>
      <c r="C191" s="20" t="s">
        <v>329</v>
      </c>
    </row>
    <row r="192" spans="1:3">
      <c r="A192" s="20">
        <v>1115360712</v>
      </c>
      <c r="B192" s="20" t="s">
        <v>116</v>
      </c>
      <c r="C192" s="20" t="s">
        <v>330</v>
      </c>
    </row>
    <row r="193" spans="1:3">
      <c r="A193" s="20">
        <v>1115300441</v>
      </c>
      <c r="B193" s="20" t="s">
        <v>116</v>
      </c>
      <c r="C193" s="20" t="s">
        <v>331</v>
      </c>
    </row>
    <row r="194" spans="1:3">
      <c r="A194" s="20">
        <v>1115355711</v>
      </c>
      <c r="B194" s="20" t="s">
        <v>116</v>
      </c>
      <c r="C194" s="20" t="s">
        <v>332</v>
      </c>
    </row>
    <row r="195" spans="1:3">
      <c r="A195" s="20">
        <v>1115293937</v>
      </c>
      <c r="B195" s="20" t="s">
        <v>116</v>
      </c>
      <c r="C195" s="20" t="s">
        <v>333</v>
      </c>
    </row>
    <row r="196" spans="1:3">
      <c r="A196" s="20">
        <v>1115343913</v>
      </c>
      <c r="B196" s="20" t="s">
        <v>116</v>
      </c>
      <c r="C196" s="20" t="s">
        <v>334</v>
      </c>
    </row>
    <row r="197" spans="1:3">
      <c r="A197" s="20">
        <v>1115292357</v>
      </c>
      <c r="B197" s="20" t="s">
        <v>116</v>
      </c>
      <c r="C197" s="20" t="s">
        <v>335</v>
      </c>
    </row>
    <row r="198" spans="1:3">
      <c r="A198" s="20">
        <v>1115291488</v>
      </c>
      <c r="B198" s="20" t="s">
        <v>117</v>
      </c>
      <c r="C198" s="20" t="s">
        <v>336</v>
      </c>
    </row>
    <row r="199" spans="1:3">
      <c r="A199" s="20">
        <v>1115289009</v>
      </c>
      <c r="B199" s="20" t="s">
        <v>116</v>
      </c>
      <c r="C199" s="20" t="s">
        <v>337</v>
      </c>
    </row>
    <row r="200" spans="1:3">
      <c r="A200" s="20">
        <v>1115340036</v>
      </c>
      <c r="B200" s="20" t="s">
        <v>116</v>
      </c>
      <c r="C200" s="20" t="s">
        <v>338</v>
      </c>
    </row>
    <row r="201" spans="1:3">
      <c r="A201" s="20">
        <v>1115289010</v>
      </c>
      <c r="B201" s="20" t="s">
        <v>116</v>
      </c>
      <c r="C201" s="20" t="s">
        <v>339</v>
      </c>
    </row>
    <row r="202" spans="1:3">
      <c r="A202" s="20">
        <v>1115341305</v>
      </c>
      <c r="B202" s="20" t="s">
        <v>116</v>
      </c>
      <c r="C202" s="20" t="s">
        <v>340</v>
      </c>
    </row>
    <row r="203" spans="1:3">
      <c r="A203" s="20">
        <v>1115277461</v>
      </c>
      <c r="B203" s="20" t="s">
        <v>116</v>
      </c>
      <c r="C203" s="20" t="s">
        <v>341</v>
      </c>
    </row>
    <row r="204" spans="1:3">
      <c r="A204" s="20">
        <v>1115296856</v>
      </c>
      <c r="B204" s="20" t="s">
        <v>116</v>
      </c>
      <c r="C204" s="20" t="s">
        <v>342</v>
      </c>
    </row>
    <row r="205" spans="1:3">
      <c r="A205" s="20">
        <v>1115296129</v>
      </c>
      <c r="B205" s="20" t="s">
        <v>116</v>
      </c>
      <c r="C205" s="20" t="s">
        <v>343</v>
      </c>
    </row>
    <row r="206" spans="1:3">
      <c r="A206" s="20">
        <v>1115316467</v>
      </c>
      <c r="B206" s="20" t="s">
        <v>116</v>
      </c>
      <c r="C206" s="20" t="s">
        <v>344</v>
      </c>
    </row>
    <row r="207" spans="1:3">
      <c r="A207" s="20">
        <v>1115296120</v>
      </c>
      <c r="B207" s="20" t="s">
        <v>116</v>
      </c>
      <c r="C207" s="20" t="s">
        <v>345</v>
      </c>
    </row>
    <row r="208" spans="1:3">
      <c r="A208" s="20">
        <v>1115308994</v>
      </c>
      <c r="B208" s="20" t="s">
        <v>116</v>
      </c>
      <c r="C208" s="20" t="s">
        <v>346</v>
      </c>
    </row>
    <row r="209" spans="1:3">
      <c r="A209" s="20">
        <v>1115296119</v>
      </c>
      <c r="B209" s="20" t="s">
        <v>116</v>
      </c>
      <c r="C209" s="20" t="s">
        <v>347</v>
      </c>
    </row>
    <row r="210" spans="1:3">
      <c r="A210" s="20">
        <v>1115272610</v>
      </c>
      <c r="B210" s="20" t="s">
        <v>116</v>
      </c>
      <c r="C210" s="20" t="s">
        <v>348</v>
      </c>
    </row>
    <row r="211" spans="1:3">
      <c r="A211" s="20">
        <v>1115296124</v>
      </c>
      <c r="B211" s="20" t="s">
        <v>116</v>
      </c>
      <c r="C211" s="20" t="s">
        <v>349</v>
      </c>
    </row>
    <row r="212" spans="1:3">
      <c r="A212" s="20">
        <v>1115341311</v>
      </c>
      <c r="B212" s="20" t="s">
        <v>116</v>
      </c>
      <c r="C212" s="20" t="s">
        <v>350</v>
      </c>
    </row>
    <row r="213" spans="1:3">
      <c r="A213" s="20">
        <v>1115296225</v>
      </c>
      <c r="B213" s="20" t="s">
        <v>116</v>
      </c>
      <c r="C213" s="20" t="s">
        <v>351</v>
      </c>
    </row>
    <row r="214" spans="1:3">
      <c r="A214" s="20">
        <v>1115341295</v>
      </c>
      <c r="B214" s="20" t="s">
        <v>116</v>
      </c>
      <c r="C214" s="20" t="s">
        <v>352</v>
      </c>
    </row>
    <row r="215" spans="1:3">
      <c r="A215" s="20">
        <v>1115294797</v>
      </c>
      <c r="B215" s="20" t="s">
        <v>116</v>
      </c>
      <c r="C215" s="20" t="s">
        <v>353</v>
      </c>
    </row>
    <row r="216" spans="1:3">
      <c r="A216" s="20">
        <v>1115341262</v>
      </c>
      <c r="B216" s="20" t="s">
        <v>116</v>
      </c>
      <c r="C216" s="20" t="s">
        <v>354</v>
      </c>
    </row>
    <row r="217" spans="1:3">
      <c r="A217" s="20">
        <v>1115294800</v>
      </c>
      <c r="B217" s="20" t="s">
        <v>116</v>
      </c>
      <c r="C217" s="20" t="s">
        <v>355</v>
      </c>
    </row>
    <row r="218" spans="1:3">
      <c r="A218" s="20">
        <v>1115296213</v>
      </c>
      <c r="B218" s="20" t="s">
        <v>116</v>
      </c>
      <c r="C218" s="20" t="s">
        <v>356</v>
      </c>
    </row>
    <row r="219" spans="1:3">
      <c r="A219" s="20">
        <v>1115296228</v>
      </c>
      <c r="B219" s="20" t="s">
        <v>116</v>
      </c>
      <c r="C219" s="20" t="s">
        <v>357</v>
      </c>
    </row>
    <row r="220" spans="1:3">
      <c r="A220" s="20">
        <v>1115308986</v>
      </c>
      <c r="B220" s="20" t="s">
        <v>116</v>
      </c>
      <c r="C220" s="20" t="s">
        <v>358</v>
      </c>
    </row>
    <row r="221" spans="1:3">
      <c r="A221" s="20">
        <v>1115296031</v>
      </c>
      <c r="B221" s="20" t="s">
        <v>116</v>
      </c>
      <c r="C221" s="20" t="s">
        <v>359</v>
      </c>
    </row>
    <row r="222" spans="1:3">
      <c r="A222" s="20">
        <v>1115302847</v>
      </c>
      <c r="B222" s="20" t="s">
        <v>116</v>
      </c>
      <c r="C222" s="20" t="s">
        <v>360</v>
      </c>
    </row>
    <row r="223" spans="1:3">
      <c r="A223" s="20">
        <v>1115295194</v>
      </c>
      <c r="B223" s="20" t="s">
        <v>116</v>
      </c>
      <c r="C223" s="20" t="s">
        <v>361</v>
      </c>
    </row>
    <row r="224" spans="1:3">
      <c r="A224" s="20">
        <v>1115294803</v>
      </c>
      <c r="B224" s="20" t="s">
        <v>116</v>
      </c>
      <c r="C224" s="20" t="s">
        <v>362</v>
      </c>
    </row>
    <row r="225" spans="1:3">
      <c r="A225" s="20">
        <v>1115296116</v>
      </c>
      <c r="B225" s="20" t="s">
        <v>116</v>
      </c>
      <c r="C225" s="20" t="s">
        <v>363</v>
      </c>
    </row>
    <row r="226" spans="1:3">
      <c r="A226" s="20">
        <v>1115294802</v>
      </c>
      <c r="B226" s="20" t="s">
        <v>116</v>
      </c>
      <c r="C226" s="20" t="s">
        <v>364</v>
      </c>
    </row>
    <row r="227" spans="1:3">
      <c r="A227" s="20">
        <v>1115296122</v>
      </c>
      <c r="B227" s="20" t="s">
        <v>116</v>
      </c>
      <c r="C227" s="20" t="s">
        <v>365</v>
      </c>
    </row>
    <row r="228" spans="1:3">
      <c r="A228" s="20">
        <v>1115285910</v>
      </c>
      <c r="B228" s="20" t="s">
        <v>116</v>
      </c>
      <c r="C228" s="20" t="s">
        <v>366</v>
      </c>
    </row>
    <row r="229" spans="1:3">
      <c r="A229" s="20">
        <v>1115324249</v>
      </c>
      <c r="B229" s="20" t="s">
        <v>116</v>
      </c>
      <c r="C229" s="20" t="s">
        <v>367</v>
      </c>
    </row>
    <row r="230" spans="1:3">
      <c r="A230" s="20">
        <v>1115296318</v>
      </c>
      <c r="B230" s="20" t="s">
        <v>116</v>
      </c>
      <c r="C230" s="20" t="s">
        <v>368</v>
      </c>
    </row>
    <row r="231" spans="1:3">
      <c r="A231" s="20">
        <v>1115295454</v>
      </c>
      <c r="B231" s="20" t="s">
        <v>116</v>
      </c>
      <c r="C231" s="20" t="s">
        <v>369</v>
      </c>
    </row>
    <row r="232" spans="1:3">
      <c r="A232" s="20">
        <v>1115295486</v>
      </c>
      <c r="B232" s="20" t="s">
        <v>116</v>
      </c>
      <c r="C232" s="20" t="s">
        <v>370</v>
      </c>
    </row>
    <row r="233" spans="1:3">
      <c r="A233" s="20">
        <v>1115324132</v>
      </c>
      <c r="B233" s="20" t="s">
        <v>116</v>
      </c>
      <c r="C233" s="20" t="s">
        <v>371</v>
      </c>
    </row>
    <row r="234" spans="1:3">
      <c r="A234" s="20">
        <v>1115295507</v>
      </c>
      <c r="B234" s="20" t="s">
        <v>116</v>
      </c>
      <c r="C234" s="20" t="s">
        <v>372</v>
      </c>
    </row>
    <row r="235" spans="1:3">
      <c r="A235" s="20">
        <v>1115295477</v>
      </c>
      <c r="B235" s="20" t="s">
        <v>116</v>
      </c>
      <c r="C235" s="20" t="s">
        <v>373</v>
      </c>
    </row>
    <row r="236" spans="1:3">
      <c r="A236" s="20">
        <v>1115289890</v>
      </c>
      <c r="B236" s="20" t="s">
        <v>116</v>
      </c>
      <c r="C236" s="20" t="s">
        <v>374</v>
      </c>
    </row>
    <row r="237" spans="1:3">
      <c r="A237" s="20">
        <v>1115295497</v>
      </c>
      <c r="B237" s="20" t="s">
        <v>116</v>
      </c>
      <c r="C237" s="20" t="s">
        <v>375</v>
      </c>
    </row>
    <row r="238" spans="1:3">
      <c r="A238" s="20">
        <v>1115295511</v>
      </c>
      <c r="B238" s="20" t="s">
        <v>116</v>
      </c>
      <c r="C238" s="20" t="s">
        <v>376</v>
      </c>
    </row>
    <row r="239" spans="1:3">
      <c r="A239" s="20">
        <v>1115294804</v>
      </c>
      <c r="B239" s="20" t="s">
        <v>116</v>
      </c>
      <c r="C239" s="20" t="s">
        <v>377</v>
      </c>
    </row>
    <row r="240" spans="1:3">
      <c r="A240" s="20">
        <v>1115295489</v>
      </c>
      <c r="B240" s="20" t="s">
        <v>116</v>
      </c>
      <c r="C240" s="20" t="s">
        <v>378</v>
      </c>
    </row>
    <row r="241" spans="1:3">
      <c r="A241" s="20">
        <v>1115291232</v>
      </c>
      <c r="B241" s="20" t="s">
        <v>116</v>
      </c>
      <c r="C241" s="20" t="s">
        <v>379</v>
      </c>
    </row>
    <row r="242" spans="1:3">
      <c r="A242" s="20">
        <v>1115272288</v>
      </c>
      <c r="B242" s="20" t="s">
        <v>116</v>
      </c>
      <c r="C242" s="20" t="s">
        <v>380</v>
      </c>
    </row>
    <row r="243" spans="1:3">
      <c r="A243" s="20">
        <v>1115291235</v>
      </c>
      <c r="B243" s="20" t="s">
        <v>116</v>
      </c>
      <c r="C243" s="20" t="s">
        <v>381</v>
      </c>
    </row>
    <row r="244" spans="1:3">
      <c r="A244" s="20">
        <v>1115369475</v>
      </c>
      <c r="B244" s="20" t="s">
        <v>116</v>
      </c>
      <c r="C244" s="20" t="s">
        <v>382</v>
      </c>
    </row>
    <row r="245" spans="1:3">
      <c r="A245" s="20">
        <v>1115291237</v>
      </c>
      <c r="B245" s="20" t="s">
        <v>116</v>
      </c>
      <c r="C245" s="20" t="s">
        <v>383</v>
      </c>
    </row>
    <row r="246" spans="1:3">
      <c r="A246" s="20">
        <v>1115369490</v>
      </c>
      <c r="B246" s="20" t="s">
        <v>116</v>
      </c>
      <c r="C246" s="20" t="s">
        <v>384</v>
      </c>
    </row>
    <row r="247" spans="1:3">
      <c r="A247" s="20">
        <v>1115272287</v>
      </c>
      <c r="B247" s="20" t="s">
        <v>116</v>
      </c>
      <c r="C247" s="20" t="s">
        <v>385</v>
      </c>
    </row>
    <row r="248" spans="1:3">
      <c r="A248" s="20">
        <v>1115369568</v>
      </c>
      <c r="B248" s="20" t="s">
        <v>116</v>
      </c>
      <c r="C248" s="20" t="s">
        <v>386</v>
      </c>
    </row>
    <row r="249" spans="1:3">
      <c r="A249" s="20">
        <v>1115272280</v>
      </c>
      <c r="B249" s="20" t="s">
        <v>116</v>
      </c>
      <c r="C249" s="20" t="s">
        <v>387</v>
      </c>
    </row>
    <row r="250" spans="1:3">
      <c r="A250" s="20">
        <v>1115361000</v>
      </c>
      <c r="B250" s="20" t="s">
        <v>116</v>
      </c>
      <c r="C250" s="20" t="s">
        <v>388</v>
      </c>
    </row>
    <row r="251" spans="1:3">
      <c r="A251" s="20">
        <v>1115366606</v>
      </c>
      <c r="B251" s="20" t="s">
        <v>116</v>
      </c>
      <c r="C251" s="20" t="s">
        <v>389</v>
      </c>
    </row>
    <row r="252" spans="1:3">
      <c r="A252" s="20">
        <v>1115272279</v>
      </c>
      <c r="B252" s="20" t="s">
        <v>116</v>
      </c>
      <c r="C252" s="20" t="s">
        <v>390</v>
      </c>
    </row>
    <row r="253" spans="1:3">
      <c r="A253" s="20">
        <v>1115358686</v>
      </c>
      <c r="B253" s="20" t="s">
        <v>116</v>
      </c>
      <c r="C253" s="20" t="s">
        <v>391</v>
      </c>
    </row>
    <row r="254" spans="1:3">
      <c r="A254" s="20">
        <v>1115272278</v>
      </c>
      <c r="B254" s="20" t="s">
        <v>116</v>
      </c>
      <c r="C254" s="20" t="s">
        <v>392</v>
      </c>
    </row>
    <row r="255" spans="1:3">
      <c r="A255" s="20">
        <v>1115352169</v>
      </c>
      <c r="B255" s="20" t="s">
        <v>116</v>
      </c>
      <c r="C255" s="20" t="s">
        <v>393</v>
      </c>
    </row>
    <row r="256" spans="1:3">
      <c r="A256" s="20">
        <v>1115300454</v>
      </c>
      <c r="B256" s="20" t="s">
        <v>116</v>
      </c>
      <c r="C256" s="20" t="s">
        <v>394</v>
      </c>
    </row>
    <row r="257" spans="1:3">
      <c r="A257" s="20">
        <v>1115352171</v>
      </c>
      <c r="B257" s="20" t="s">
        <v>116</v>
      </c>
      <c r="C257" s="20" t="s">
        <v>395</v>
      </c>
    </row>
    <row r="258" spans="1:3">
      <c r="A258" s="20">
        <v>1115300452</v>
      </c>
      <c r="B258" s="20" t="s">
        <v>116</v>
      </c>
      <c r="C258" s="20" t="s">
        <v>396</v>
      </c>
    </row>
    <row r="259" spans="1:3">
      <c r="A259" s="20">
        <v>1115360724</v>
      </c>
      <c r="B259" s="20" t="s">
        <v>116</v>
      </c>
      <c r="C259" s="20" t="s">
        <v>397</v>
      </c>
    </row>
    <row r="260" spans="1:3">
      <c r="A260" s="20">
        <v>1115291824</v>
      </c>
      <c r="B260" s="20" t="s">
        <v>116</v>
      </c>
      <c r="C260" s="20" t="s">
        <v>398</v>
      </c>
    </row>
    <row r="261" spans="1:3">
      <c r="A261" s="20">
        <v>1115360725</v>
      </c>
      <c r="B261" s="20" t="s">
        <v>116</v>
      </c>
      <c r="C261" s="20" t="s">
        <v>399</v>
      </c>
    </row>
    <row r="262" spans="1:3">
      <c r="A262" s="20">
        <v>1115305067</v>
      </c>
      <c r="B262" s="20" t="s">
        <v>116</v>
      </c>
      <c r="C262" s="20" t="s">
        <v>400</v>
      </c>
    </row>
    <row r="263" spans="1:3">
      <c r="A263" s="20">
        <v>1115353548</v>
      </c>
      <c r="B263" s="20" t="s">
        <v>116</v>
      </c>
      <c r="C263" s="20" t="s">
        <v>401</v>
      </c>
    </row>
    <row r="264" spans="1:3">
      <c r="A264" s="20">
        <v>1115300453</v>
      </c>
      <c r="B264" s="20" t="s">
        <v>116</v>
      </c>
      <c r="C264" s="20" t="s">
        <v>402</v>
      </c>
    </row>
    <row r="265" spans="1:3">
      <c r="A265" s="20">
        <v>1115353547</v>
      </c>
      <c r="B265" s="20" t="s">
        <v>116</v>
      </c>
      <c r="C265" s="20" t="s">
        <v>403</v>
      </c>
    </row>
    <row r="266" spans="1:3">
      <c r="A266" s="20">
        <v>1115300484</v>
      </c>
      <c r="B266" s="20" t="s">
        <v>116</v>
      </c>
      <c r="C266" s="20" t="s">
        <v>404</v>
      </c>
    </row>
    <row r="267" spans="1:3">
      <c r="A267" s="20">
        <v>1115358277</v>
      </c>
      <c r="B267" s="20" t="s">
        <v>116</v>
      </c>
      <c r="C267" s="20" t="s">
        <v>405</v>
      </c>
    </row>
    <row r="268" spans="1:3">
      <c r="A268" s="20">
        <v>1115300485</v>
      </c>
      <c r="B268" s="20" t="s">
        <v>116</v>
      </c>
      <c r="C268" s="20" t="s">
        <v>406</v>
      </c>
    </row>
    <row r="269" spans="1:3">
      <c r="A269" s="20">
        <v>1115351009</v>
      </c>
      <c r="B269" s="20" t="s">
        <v>116</v>
      </c>
      <c r="C269" s="20" t="s">
        <v>407</v>
      </c>
    </row>
    <row r="270" spans="1:3">
      <c r="A270" s="20">
        <v>1115293732</v>
      </c>
      <c r="B270" s="20" t="s">
        <v>116</v>
      </c>
      <c r="C270" s="20" t="s">
        <v>408</v>
      </c>
    </row>
    <row r="271" spans="1:3">
      <c r="A271" s="20">
        <v>1115349621</v>
      </c>
      <c r="B271" s="20" t="s">
        <v>116</v>
      </c>
      <c r="C271" s="20" t="s">
        <v>409</v>
      </c>
    </row>
    <row r="272" spans="1:3">
      <c r="A272" s="20">
        <v>1115291238</v>
      </c>
      <c r="B272" s="20" t="s">
        <v>116</v>
      </c>
      <c r="C272" s="20" t="s">
        <v>410</v>
      </c>
    </row>
    <row r="273" spans="1:3">
      <c r="A273" s="20">
        <v>1115349622</v>
      </c>
      <c r="B273" s="20" t="s">
        <v>116</v>
      </c>
      <c r="C273" s="20" t="s">
        <v>411</v>
      </c>
    </row>
    <row r="274" spans="1:3">
      <c r="A274" s="20">
        <v>1115288759</v>
      </c>
      <c r="B274" s="20" t="s">
        <v>116</v>
      </c>
      <c r="C274" s="20" t="s">
        <v>412</v>
      </c>
    </row>
    <row r="275" spans="1:3">
      <c r="A275" s="20">
        <v>1115349620</v>
      </c>
      <c r="B275" s="20" t="s">
        <v>116</v>
      </c>
      <c r="C275" s="20" t="s">
        <v>413</v>
      </c>
    </row>
    <row r="276" spans="1:3">
      <c r="A276" s="20">
        <v>1115288757</v>
      </c>
      <c r="B276" s="20" t="s">
        <v>116</v>
      </c>
      <c r="C276" s="20" t="s">
        <v>414</v>
      </c>
    </row>
    <row r="277" spans="1:3">
      <c r="A277" s="20">
        <v>1115343827</v>
      </c>
      <c r="B277" s="20" t="s">
        <v>116</v>
      </c>
      <c r="C277" s="20" t="s">
        <v>415</v>
      </c>
    </row>
    <row r="278" spans="1:3">
      <c r="A278" s="20">
        <v>1115288761</v>
      </c>
      <c r="B278" s="20" t="s">
        <v>116</v>
      </c>
      <c r="C278" s="20" t="s">
        <v>416</v>
      </c>
    </row>
    <row r="279" spans="1:3">
      <c r="A279" s="20">
        <v>1115343828</v>
      </c>
      <c r="B279" s="20" t="s">
        <v>116</v>
      </c>
      <c r="C279" s="20" t="s">
        <v>417</v>
      </c>
    </row>
    <row r="280" spans="1:3">
      <c r="A280" s="20">
        <v>1115288758</v>
      </c>
      <c r="B280" s="20" t="s">
        <v>116</v>
      </c>
      <c r="C280" s="20" t="s">
        <v>418</v>
      </c>
    </row>
    <row r="281" spans="1:3">
      <c r="A281" s="20">
        <v>1115343829</v>
      </c>
      <c r="B281" s="20" t="s">
        <v>116</v>
      </c>
      <c r="C281" s="20" t="s">
        <v>419</v>
      </c>
    </row>
    <row r="282" spans="1:3">
      <c r="A282" s="20">
        <v>1115287826</v>
      </c>
      <c r="B282" s="20" t="s">
        <v>116</v>
      </c>
      <c r="C282" s="20" t="s">
        <v>420</v>
      </c>
    </row>
    <row r="283" spans="1:3">
      <c r="A283" s="20">
        <v>1115341087</v>
      </c>
      <c r="B283" s="20" t="s">
        <v>116</v>
      </c>
      <c r="C283" s="20" t="s">
        <v>421</v>
      </c>
    </row>
    <row r="284" spans="1:3">
      <c r="A284" s="20">
        <v>1115287825</v>
      </c>
      <c r="B284" s="20" t="s">
        <v>116</v>
      </c>
      <c r="C284" s="20" t="s">
        <v>422</v>
      </c>
    </row>
    <row r="285" spans="1:3">
      <c r="A285" s="20">
        <v>1115339660</v>
      </c>
      <c r="B285" s="20" t="s">
        <v>116</v>
      </c>
      <c r="C285" s="20" t="s">
        <v>423</v>
      </c>
    </row>
    <row r="286" spans="1:3">
      <c r="A286" s="20">
        <v>1115291233</v>
      </c>
      <c r="B286" s="20" t="s">
        <v>116</v>
      </c>
      <c r="C286" s="20" t="s">
        <v>424</v>
      </c>
    </row>
    <row r="287" spans="1:3">
      <c r="A287" s="20">
        <v>1115339659</v>
      </c>
      <c r="B287" s="20" t="s">
        <v>116</v>
      </c>
      <c r="C287" s="20" t="s">
        <v>425</v>
      </c>
    </row>
    <row r="288" spans="1:3">
      <c r="A288" s="20">
        <v>1115291234</v>
      </c>
      <c r="B288" s="20" t="s">
        <v>116</v>
      </c>
      <c r="C288" s="20" t="s">
        <v>426</v>
      </c>
    </row>
    <row r="289" spans="1:3">
      <c r="A289" s="20">
        <v>1115319509</v>
      </c>
      <c r="B289" s="20" t="s">
        <v>116</v>
      </c>
      <c r="C289" s="20" t="s">
        <v>427</v>
      </c>
    </row>
    <row r="290" spans="1:3">
      <c r="A290" s="20">
        <v>1115291236</v>
      </c>
      <c r="B290" s="20" t="s">
        <v>116</v>
      </c>
      <c r="C290" s="20" t="s">
        <v>428</v>
      </c>
    </row>
    <row r="291" spans="1:3">
      <c r="A291" s="20">
        <v>1115294783</v>
      </c>
      <c r="B291" s="20" t="s">
        <v>116</v>
      </c>
      <c r="C291" s="20" t="s">
        <v>429</v>
      </c>
    </row>
    <row r="292" spans="1:3">
      <c r="A292" s="20">
        <v>1115293818</v>
      </c>
      <c r="B292" s="20" t="s">
        <v>116</v>
      </c>
      <c r="C292" s="20" t="s">
        <v>430</v>
      </c>
    </row>
    <row r="293" spans="1:3">
      <c r="A293" s="20">
        <v>1115125369</v>
      </c>
      <c r="B293" s="20" t="s">
        <v>116</v>
      </c>
      <c r="C293" s="20" t="s">
        <v>431</v>
      </c>
    </row>
    <row r="294" spans="1:3">
      <c r="A294" s="20">
        <v>1115291394</v>
      </c>
      <c r="B294" s="20" t="s">
        <v>116</v>
      </c>
      <c r="C294" s="20" t="s">
        <v>432</v>
      </c>
    </row>
    <row r="295" spans="1:3">
      <c r="A295" s="20">
        <v>1115125370</v>
      </c>
      <c r="B295" s="20" t="s">
        <v>116</v>
      </c>
      <c r="C295" s="20" t="s">
        <v>141</v>
      </c>
    </row>
    <row r="296" spans="1:3">
      <c r="A296" s="20">
        <v>1115291395</v>
      </c>
      <c r="B296" s="20" t="s">
        <v>116</v>
      </c>
      <c r="C296" s="20" t="s">
        <v>433</v>
      </c>
    </row>
    <row r="297" spans="1:3">
      <c r="A297" s="20">
        <v>1115347494</v>
      </c>
      <c r="B297" s="20" t="s">
        <v>116</v>
      </c>
      <c r="C297" s="20" t="s">
        <v>144</v>
      </c>
    </row>
    <row r="298" spans="1:3">
      <c r="A298" s="20">
        <v>1115291239</v>
      </c>
      <c r="B298" s="20" t="s">
        <v>116</v>
      </c>
      <c r="C298" s="20" t="s">
        <v>434</v>
      </c>
    </row>
    <row r="299" spans="1:3">
      <c r="A299" s="20">
        <v>1115358250</v>
      </c>
      <c r="B299" s="20" t="s">
        <v>116</v>
      </c>
      <c r="C299" s="20" t="s">
        <v>146</v>
      </c>
    </row>
    <row r="300" spans="1:3">
      <c r="A300" s="20">
        <v>1115277460</v>
      </c>
      <c r="B300" s="20" t="s">
        <v>116</v>
      </c>
      <c r="C300" s="20" t="s">
        <v>435</v>
      </c>
    </row>
    <row r="301" spans="1:3">
      <c r="A301" s="20">
        <v>1115293649</v>
      </c>
      <c r="B301" s="20" t="s">
        <v>116</v>
      </c>
      <c r="C301" s="20" t="s">
        <v>149</v>
      </c>
    </row>
    <row r="302" spans="1:3">
      <c r="A302" s="20">
        <v>1115277459</v>
      </c>
      <c r="B302" s="20" t="s">
        <v>116</v>
      </c>
      <c r="C302" s="20" t="s">
        <v>436</v>
      </c>
    </row>
    <row r="303" spans="1:3">
      <c r="A303" s="20">
        <v>1115336173</v>
      </c>
      <c r="B303" s="20" t="s">
        <v>116</v>
      </c>
      <c r="C303" s="20" t="s">
        <v>152</v>
      </c>
    </row>
    <row r="304" spans="1:3">
      <c r="A304" s="20">
        <v>1115274123</v>
      </c>
      <c r="B304" s="20" t="s">
        <v>116</v>
      </c>
      <c r="C304" s="20" t="s">
        <v>437</v>
      </c>
    </row>
    <row r="305" spans="1:3">
      <c r="A305" s="20">
        <v>1115334611</v>
      </c>
      <c r="B305" s="20" t="s">
        <v>116</v>
      </c>
      <c r="C305" s="20" t="s">
        <v>155</v>
      </c>
    </row>
    <row r="306" spans="1:3">
      <c r="A306" s="20">
        <v>1115284482</v>
      </c>
      <c r="B306" s="20" t="s">
        <v>116</v>
      </c>
      <c r="C306" s="20" t="s">
        <v>438</v>
      </c>
    </row>
    <row r="307" spans="1:3">
      <c r="A307" s="20">
        <v>1115344483</v>
      </c>
      <c r="B307" s="20" t="s">
        <v>116</v>
      </c>
      <c r="C307" s="20" t="s">
        <v>158</v>
      </c>
    </row>
    <row r="308" spans="1:3">
      <c r="A308" s="20">
        <v>1115284481</v>
      </c>
      <c r="B308" s="20" t="s">
        <v>116</v>
      </c>
      <c r="C308" s="20" t="s">
        <v>439</v>
      </c>
    </row>
    <row r="309" spans="1:3">
      <c r="A309" s="20">
        <v>1115336290</v>
      </c>
      <c r="B309" s="20" t="s">
        <v>116</v>
      </c>
      <c r="C309" s="20" t="s">
        <v>161</v>
      </c>
    </row>
    <row r="310" spans="1:3">
      <c r="A310" s="20">
        <v>1115272292</v>
      </c>
      <c r="B310" s="20" t="s">
        <v>116</v>
      </c>
      <c r="C310" s="20" t="s">
        <v>440</v>
      </c>
    </row>
    <row r="311" spans="1:3">
      <c r="A311" s="20">
        <v>1115336288</v>
      </c>
      <c r="B311" s="20" t="s">
        <v>116</v>
      </c>
      <c r="C311" s="20" t="s">
        <v>163</v>
      </c>
    </row>
    <row r="312" spans="1:3">
      <c r="A312" s="20">
        <v>1115272277</v>
      </c>
      <c r="B312" s="20" t="s">
        <v>116</v>
      </c>
      <c r="C312" s="20" t="s">
        <v>441</v>
      </c>
    </row>
    <row r="313" spans="1:3">
      <c r="A313" s="20">
        <v>1115334718</v>
      </c>
      <c r="B313" s="20" t="s">
        <v>116</v>
      </c>
      <c r="C313" s="20" t="s">
        <v>166</v>
      </c>
    </row>
    <row r="314" spans="1:3">
      <c r="A314" s="20">
        <v>1114935979</v>
      </c>
      <c r="B314" s="20" t="s">
        <v>116</v>
      </c>
      <c r="C314" s="20" t="s">
        <v>442</v>
      </c>
    </row>
    <row r="315" spans="1:3">
      <c r="A315" s="20">
        <v>1115317615</v>
      </c>
      <c r="B315" s="20" t="s">
        <v>117</v>
      </c>
      <c r="C315" s="20" t="s">
        <v>169</v>
      </c>
    </row>
    <row r="316" spans="1:3">
      <c r="A316" s="20">
        <v>1114935978</v>
      </c>
      <c r="B316" s="20" t="s">
        <v>116</v>
      </c>
      <c r="C316" s="20" t="s">
        <v>443</v>
      </c>
    </row>
    <row r="317" spans="1:3">
      <c r="A317" s="20">
        <v>1115310677</v>
      </c>
      <c r="B317" s="20" t="s">
        <v>117</v>
      </c>
      <c r="C317" s="20" t="s">
        <v>171</v>
      </c>
    </row>
    <row r="318" spans="1:3">
      <c r="A318" s="20">
        <v>1114935980</v>
      </c>
      <c r="B318" s="20" t="s">
        <v>116</v>
      </c>
      <c r="C318" s="20" t="s">
        <v>444</v>
      </c>
    </row>
    <row r="319" spans="1:3">
      <c r="A319" s="20">
        <v>1115297121</v>
      </c>
      <c r="B319" s="20" t="s">
        <v>116</v>
      </c>
      <c r="C319" s="20" t="s">
        <v>173</v>
      </c>
    </row>
    <row r="320" spans="1:3">
      <c r="A320" s="20">
        <v>1115344445</v>
      </c>
      <c r="B320" s="20" t="s">
        <v>116</v>
      </c>
      <c r="C320" s="20" t="s">
        <v>445</v>
      </c>
    </row>
    <row r="321" spans="1:3">
      <c r="A321" s="20">
        <v>1115293733</v>
      </c>
      <c r="B321" s="20" t="s">
        <v>116</v>
      </c>
      <c r="C321" s="20" t="s">
        <v>176</v>
      </c>
    </row>
    <row r="322" spans="1:3">
      <c r="A322" s="20">
        <v>1115296047</v>
      </c>
      <c r="B322" s="20" t="s">
        <v>116</v>
      </c>
      <c r="C322" s="20" t="s">
        <v>446</v>
      </c>
    </row>
    <row r="323" spans="1:3">
      <c r="A323" s="20">
        <v>1115296221</v>
      </c>
      <c r="B323" s="20" t="s">
        <v>116</v>
      </c>
      <c r="C323" s="20" t="s">
        <v>447</v>
      </c>
    </row>
    <row r="324" spans="1:3">
      <c r="A324" s="20">
        <v>1115264465</v>
      </c>
      <c r="B324" s="20" t="s">
        <v>116</v>
      </c>
      <c r="C324" s="20" t="s">
        <v>179</v>
      </c>
    </row>
    <row r="325" spans="1:3">
      <c r="A325" s="20">
        <v>1115294777</v>
      </c>
      <c r="B325" s="20" t="s">
        <v>116</v>
      </c>
      <c r="C325" s="20" t="s">
        <v>448</v>
      </c>
    </row>
    <row r="326" spans="1:3">
      <c r="A326" s="20">
        <v>1115314510</v>
      </c>
      <c r="B326" s="20" t="s">
        <v>116</v>
      </c>
      <c r="C326" s="20" t="s">
        <v>184</v>
      </c>
    </row>
    <row r="327" spans="1:3">
      <c r="A327" s="20">
        <v>1115357687</v>
      </c>
      <c r="B327" s="20" t="s">
        <v>116</v>
      </c>
      <c r="C327" s="20" t="s">
        <v>449</v>
      </c>
    </row>
    <row r="328" spans="1:3">
      <c r="A328" s="20">
        <v>1115295436</v>
      </c>
      <c r="B328" s="20" t="s">
        <v>116</v>
      </c>
      <c r="C328" s="20" t="s">
        <v>187</v>
      </c>
    </row>
    <row r="329" spans="1:3">
      <c r="A329" s="20">
        <v>1115340733</v>
      </c>
      <c r="B329" s="20" t="s">
        <v>116</v>
      </c>
      <c r="C329" s="20" t="s">
        <v>450</v>
      </c>
    </row>
    <row r="330" spans="1:3">
      <c r="A330" s="20">
        <v>1115355438</v>
      </c>
      <c r="B330" s="20" t="s">
        <v>116</v>
      </c>
      <c r="C330" s="20" t="s">
        <v>451</v>
      </c>
    </row>
    <row r="331" spans="1:3">
      <c r="A331" s="20">
        <v>1115295447</v>
      </c>
      <c r="B331" s="20" t="s">
        <v>116</v>
      </c>
      <c r="C331" s="20" t="s">
        <v>190</v>
      </c>
    </row>
    <row r="332" spans="1:3">
      <c r="A332" s="20">
        <v>1115295445</v>
      </c>
      <c r="B332" s="20" t="s">
        <v>116</v>
      </c>
      <c r="C332" s="20" t="s">
        <v>193</v>
      </c>
    </row>
    <row r="333" spans="1:3">
      <c r="A333" s="20">
        <v>1115355439</v>
      </c>
      <c r="B333" s="20" t="s">
        <v>116</v>
      </c>
      <c r="C333" s="20" t="s">
        <v>452</v>
      </c>
    </row>
    <row r="334" spans="1:3">
      <c r="A334" s="20">
        <v>1115342486</v>
      </c>
      <c r="B334" s="20" t="s">
        <v>116</v>
      </c>
      <c r="C334" s="20" t="s">
        <v>196</v>
      </c>
    </row>
    <row r="335" spans="1:3">
      <c r="A335" s="20">
        <v>1115317042</v>
      </c>
      <c r="B335" s="20" t="s">
        <v>116</v>
      </c>
      <c r="C335" s="20" t="s">
        <v>453</v>
      </c>
    </row>
    <row r="336" spans="1:3">
      <c r="A336" s="20">
        <v>1115294801</v>
      </c>
      <c r="B336" s="20" t="s">
        <v>116</v>
      </c>
      <c r="C336" s="20" t="s">
        <v>454</v>
      </c>
    </row>
    <row r="337" spans="1:3">
      <c r="A337" s="20">
        <v>1115341372</v>
      </c>
      <c r="B337" s="20" t="s">
        <v>116</v>
      </c>
      <c r="C337" s="20" t="s">
        <v>199</v>
      </c>
    </row>
    <row r="338" spans="1:3">
      <c r="A338" s="20">
        <v>1115272275</v>
      </c>
      <c r="B338" s="20" t="s">
        <v>116</v>
      </c>
      <c r="C338" s="20" t="s">
        <v>455</v>
      </c>
    </row>
    <row r="339" spans="1:3">
      <c r="A339" s="20">
        <v>1115343641</v>
      </c>
      <c r="B339" s="20" t="s">
        <v>116</v>
      </c>
      <c r="C339" s="20" t="s">
        <v>202</v>
      </c>
    </row>
    <row r="340" spans="1:3">
      <c r="A340" s="20">
        <v>1115311666</v>
      </c>
      <c r="B340" s="20" t="s">
        <v>116</v>
      </c>
      <c r="C340" s="20" t="s">
        <v>456</v>
      </c>
    </row>
    <row r="341" spans="1:3">
      <c r="A341" s="20">
        <v>1115336992</v>
      </c>
      <c r="B341" s="20" t="s">
        <v>116</v>
      </c>
      <c r="C341" s="20" t="s">
        <v>204</v>
      </c>
    </row>
    <row r="342" spans="1:3">
      <c r="A342" s="20">
        <v>1115311649</v>
      </c>
      <c r="B342" s="20" t="s">
        <v>116</v>
      </c>
      <c r="C342" s="20" t="s">
        <v>457</v>
      </c>
    </row>
    <row r="343" spans="1:3">
      <c r="A343" s="20">
        <v>1115336990</v>
      </c>
      <c r="B343" s="20" t="s">
        <v>116</v>
      </c>
      <c r="C343" s="20" t="s">
        <v>207</v>
      </c>
    </row>
    <row r="344" spans="1:3">
      <c r="A344" s="20">
        <v>1115350509</v>
      </c>
      <c r="B344" s="20" t="s">
        <v>116</v>
      </c>
      <c r="C344" s="20" t="s">
        <v>458</v>
      </c>
    </row>
    <row r="345" spans="1:3">
      <c r="A345" s="20">
        <v>1115336991</v>
      </c>
      <c r="B345" s="20" t="s">
        <v>116</v>
      </c>
      <c r="C345" s="20" t="s">
        <v>209</v>
      </c>
    </row>
    <row r="346" spans="1:3">
      <c r="A346" s="20">
        <v>1115296219</v>
      </c>
      <c r="B346" s="20" t="s">
        <v>116</v>
      </c>
      <c r="C346" s="20" t="s">
        <v>459</v>
      </c>
    </row>
    <row r="347" spans="1:3">
      <c r="A347" s="20">
        <v>1115336989</v>
      </c>
      <c r="B347" s="20" t="s">
        <v>116</v>
      </c>
      <c r="C347" s="20" t="s">
        <v>212</v>
      </c>
    </row>
    <row r="348" spans="1:3">
      <c r="A348" s="20">
        <v>1115296038</v>
      </c>
      <c r="B348" s="20" t="s">
        <v>116</v>
      </c>
      <c r="C348" s="20" t="s">
        <v>460</v>
      </c>
    </row>
    <row r="349" spans="1:3">
      <c r="A349" s="20">
        <v>1115336097</v>
      </c>
      <c r="B349" s="20" t="s">
        <v>116</v>
      </c>
      <c r="C349" s="20" t="s">
        <v>215</v>
      </c>
    </row>
    <row r="350" spans="1:3">
      <c r="A350" s="20">
        <v>1115294778</v>
      </c>
      <c r="B350" s="20" t="s">
        <v>116</v>
      </c>
      <c r="C350" s="20" t="s">
        <v>461</v>
      </c>
    </row>
    <row r="351" spans="1:3">
      <c r="A351" s="20">
        <v>1115337322</v>
      </c>
      <c r="B351" s="20" t="s">
        <v>116</v>
      </c>
      <c r="C351" s="20" t="s">
        <v>218</v>
      </c>
    </row>
    <row r="352" spans="1:3">
      <c r="A352" s="20">
        <v>1115335108</v>
      </c>
      <c r="B352" s="20" t="s">
        <v>116</v>
      </c>
      <c r="C352" s="20" t="s">
        <v>462</v>
      </c>
    </row>
    <row r="353" spans="1:3">
      <c r="A353" s="20">
        <v>1115337323</v>
      </c>
      <c r="B353" s="20" t="s">
        <v>116</v>
      </c>
      <c r="C353" s="20" t="s">
        <v>221</v>
      </c>
    </row>
    <row r="354" spans="1:3">
      <c r="A354" s="20">
        <v>1115326814</v>
      </c>
      <c r="B354" s="20" t="s">
        <v>116</v>
      </c>
      <c r="C354" s="20" t="s">
        <v>463</v>
      </c>
    </row>
    <row r="355" spans="1:3">
      <c r="A355" s="20">
        <v>1115327384</v>
      </c>
      <c r="B355" s="20" t="s">
        <v>116</v>
      </c>
      <c r="C355" s="20" t="s">
        <v>223</v>
      </c>
    </row>
    <row r="356" spans="1:3">
      <c r="A356" s="20">
        <v>1115366443</v>
      </c>
      <c r="B356" s="20" t="s">
        <v>116</v>
      </c>
      <c r="C356" s="20" t="s">
        <v>464</v>
      </c>
    </row>
    <row r="357" spans="1:3">
      <c r="A357" s="20">
        <v>1115318224</v>
      </c>
      <c r="B357" s="20" t="s">
        <v>116</v>
      </c>
      <c r="C357" s="20" t="s">
        <v>226</v>
      </c>
    </row>
    <row r="358" spans="1:3">
      <c r="A358" s="20">
        <v>1115334403</v>
      </c>
      <c r="B358" s="20" t="s">
        <v>116</v>
      </c>
      <c r="C358" s="20" t="s">
        <v>465</v>
      </c>
    </row>
    <row r="359" spans="1:3">
      <c r="A359" s="20">
        <v>1115292358</v>
      </c>
      <c r="B359" s="20" t="s">
        <v>116</v>
      </c>
      <c r="C359" s="20" t="s">
        <v>229</v>
      </c>
    </row>
    <row r="360" spans="1:3">
      <c r="A360" s="20">
        <v>1115308829</v>
      </c>
      <c r="B360" s="20" t="s">
        <v>116</v>
      </c>
      <c r="C360" s="20" t="s">
        <v>466</v>
      </c>
    </row>
    <row r="361" spans="1:3">
      <c r="A361" s="20">
        <v>1115287480</v>
      </c>
      <c r="B361" s="20" t="s">
        <v>117</v>
      </c>
      <c r="C361" s="20" t="s">
        <v>232</v>
      </c>
    </row>
    <row r="362" spans="1:3">
      <c r="A362" s="20">
        <v>1115359951</v>
      </c>
      <c r="B362" s="20" t="s">
        <v>116</v>
      </c>
      <c r="C362" s="20" t="s">
        <v>467</v>
      </c>
    </row>
    <row r="363" spans="1:3">
      <c r="A363" s="20">
        <v>1115284878</v>
      </c>
      <c r="B363" s="20" t="s">
        <v>116</v>
      </c>
      <c r="C363" s="20" t="s">
        <v>235</v>
      </c>
    </row>
    <row r="364" spans="1:3">
      <c r="A364" s="20">
        <v>1115342057</v>
      </c>
      <c r="B364" s="20" t="s">
        <v>116</v>
      </c>
      <c r="C364" s="20" t="s">
        <v>468</v>
      </c>
    </row>
    <row r="365" spans="1:3">
      <c r="A365" s="20">
        <v>1115284881</v>
      </c>
      <c r="B365" s="20" t="s">
        <v>116</v>
      </c>
      <c r="C365" s="20" t="s">
        <v>238</v>
      </c>
    </row>
    <row r="366" spans="1:3">
      <c r="A366" s="20">
        <v>1115336276</v>
      </c>
      <c r="B366" s="20" t="s">
        <v>116</v>
      </c>
      <c r="C366" s="20" t="s">
        <v>469</v>
      </c>
    </row>
    <row r="367" spans="1:3">
      <c r="A367" s="20">
        <v>1115242114</v>
      </c>
      <c r="B367" s="20" t="s">
        <v>116</v>
      </c>
      <c r="C367" s="20" t="s">
        <v>241</v>
      </c>
    </row>
    <row r="368" spans="1:3">
      <c r="A368" s="20">
        <v>1115308828</v>
      </c>
      <c r="B368" s="20" t="s">
        <v>116</v>
      </c>
      <c r="C368" s="20" t="s">
        <v>470</v>
      </c>
    </row>
    <row r="369" spans="1:3">
      <c r="A369" s="20">
        <v>1115259000</v>
      </c>
      <c r="B369" s="20" t="s">
        <v>116</v>
      </c>
      <c r="C369" s="20" t="s">
        <v>243</v>
      </c>
    </row>
    <row r="370" spans="1:3">
      <c r="A370" s="20">
        <v>1115308825</v>
      </c>
      <c r="B370" s="20" t="s">
        <v>116</v>
      </c>
      <c r="C370" s="20" t="s">
        <v>471</v>
      </c>
    </row>
    <row r="371" spans="1:3">
      <c r="A371" s="20">
        <v>1115318406</v>
      </c>
      <c r="B371" s="20" t="s">
        <v>116</v>
      </c>
      <c r="C371" s="20" t="s">
        <v>246</v>
      </c>
    </row>
    <row r="372" spans="1:3">
      <c r="A372" s="20">
        <v>1115308824</v>
      </c>
      <c r="B372" s="20" t="s">
        <v>116</v>
      </c>
      <c r="C372" s="20" t="s">
        <v>472</v>
      </c>
    </row>
    <row r="373" spans="1:3">
      <c r="A373" s="20">
        <v>1115338032</v>
      </c>
      <c r="B373" s="20" t="s">
        <v>116</v>
      </c>
      <c r="C373" s="20" t="s">
        <v>248</v>
      </c>
    </row>
    <row r="374" spans="1:3">
      <c r="A374" s="20">
        <v>1115329511</v>
      </c>
      <c r="B374" s="20" t="s">
        <v>116</v>
      </c>
      <c r="C374" s="20" t="s">
        <v>473</v>
      </c>
    </row>
    <row r="375" spans="1:3">
      <c r="A375" s="20">
        <v>1115338035</v>
      </c>
      <c r="B375" s="20" t="s">
        <v>116</v>
      </c>
      <c r="C375" s="20" t="s">
        <v>251</v>
      </c>
    </row>
    <row r="376" spans="1:3">
      <c r="A376" s="20">
        <v>1115339109</v>
      </c>
      <c r="B376" s="20" t="s">
        <v>116</v>
      </c>
      <c r="C376" s="20" t="s">
        <v>474</v>
      </c>
    </row>
    <row r="377" spans="1:3">
      <c r="A377" s="20">
        <v>1115338036</v>
      </c>
      <c r="B377" s="20" t="s">
        <v>116</v>
      </c>
      <c r="C377" s="20" t="s">
        <v>254</v>
      </c>
    </row>
    <row r="378" spans="1:3">
      <c r="A378" s="20">
        <v>1115339108</v>
      </c>
      <c r="B378" s="20" t="s">
        <v>116</v>
      </c>
      <c r="C378" s="20" t="s">
        <v>475</v>
      </c>
    </row>
    <row r="379" spans="1:3">
      <c r="A379" s="20">
        <v>1115338037</v>
      </c>
      <c r="B379" s="20" t="s">
        <v>116</v>
      </c>
      <c r="C379" s="20" t="s">
        <v>257</v>
      </c>
    </row>
    <row r="380" spans="1:3">
      <c r="A380" s="20">
        <v>1115339107</v>
      </c>
      <c r="B380" s="20" t="s">
        <v>116</v>
      </c>
      <c r="C380" s="20" t="s">
        <v>476</v>
      </c>
    </row>
    <row r="381" spans="1:3">
      <c r="A381" s="20">
        <v>1115338038</v>
      </c>
      <c r="B381" s="20" t="s">
        <v>116</v>
      </c>
      <c r="C381" s="20" t="s">
        <v>259</v>
      </c>
    </row>
    <row r="382" spans="1:3">
      <c r="A382" s="20">
        <v>1115339106</v>
      </c>
      <c r="B382" s="20" t="s">
        <v>116</v>
      </c>
      <c r="C382" s="20" t="s">
        <v>477</v>
      </c>
    </row>
    <row r="383" spans="1:3">
      <c r="A383" s="20">
        <v>1115338039</v>
      </c>
      <c r="B383" s="20" t="s">
        <v>116</v>
      </c>
      <c r="C383" s="20" t="s">
        <v>261</v>
      </c>
    </row>
    <row r="384" spans="1:3">
      <c r="A384" s="20">
        <v>1115332822</v>
      </c>
      <c r="B384" s="20" t="s">
        <v>116</v>
      </c>
      <c r="C384" s="20" t="s">
        <v>478</v>
      </c>
    </row>
    <row r="385" spans="1:3">
      <c r="A385" s="20">
        <v>1115338040</v>
      </c>
      <c r="B385" s="20" t="s">
        <v>116</v>
      </c>
      <c r="C385" s="20" t="s">
        <v>263</v>
      </c>
    </row>
    <row r="386" spans="1:3">
      <c r="A386" s="20">
        <v>1115334066</v>
      </c>
      <c r="B386" s="20" t="s">
        <v>116</v>
      </c>
      <c r="C386" s="20" t="s">
        <v>265</v>
      </c>
    </row>
    <row r="387" spans="1:3">
      <c r="A387" s="20">
        <v>1115329508</v>
      </c>
      <c r="B387" s="20" t="s">
        <v>116</v>
      </c>
      <c r="C387" s="20" t="s">
        <v>479</v>
      </c>
    </row>
    <row r="388" spans="1:3">
      <c r="A388" s="20">
        <v>1115338185</v>
      </c>
      <c r="B388" s="20" t="s">
        <v>116</v>
      </c>
      <c r="C388" s="20" t="s">
        <v>267</v>
      </c>
    </row>
    <row r="389" spans="1:3">
      <c r="A389" s="20">
        <v>1115308153</v>
      </c>
      <c r="B389" s="20" t="s">
        <v>116</v>
      </c>
      <c r="C389" s="20" t="s">
        <v>480</v>
      </c>
    </row>
    <row r="390" spans="1:3">
      <c r="A390" s="20">
        <v>1115304069</v>
      </c>
      <c r="B390" s="20" t="s">
        <v>116</v>
      </c>
      <c r="C390" s="20" t="s">
        <v>269</v>
      </c>
    </row>
    <row r="391" spans="1:3">
      <c r="A391" s="20">
        <v>1115308152</v>
      </c>
      <c r="B391" s="20" t="s">
        <v>116</v>
      </c>
      <c r="C391" s="20" t="s">
        <v>481</v>
      </c>
    </row>
    <row r="392" spans="1:3">
      <c r="A392" s="20">
        <v>1115293648</v>
      </c>
      <c r="B392" s="20" t="s">
        <v>116</v>
      </c>
      <c r="C392" s="20" t="s">
        <v>271</v>
      </c>
    </row>
    <row r="393" spans="1:3">
      <c r="A393" s="20">
        <v>1115308151</v>
      </c>
      <c r="B393" s="20" t="s">
        <v>116</v>
      </c>
      <c r="C393" s="20" t="s">
        <v>482</v>
      </c>
    </row>
    <row r="394" spans="1:3">
      <c r="A394" s="20">
        <v>1115294808</v>
      </c>
      <c r="B394" s="20" t="s">
        <v>116</v>
      </c>
      <c r="C394" s="20" t="s">
        <v>273</v>
      </c>
    </row>
    <row r="395" spans="1:3">
      <c r="A395" s="20">
        <v>1115302843</v>
      </c>
      <c r="B395" s="20" t="s">
        <v>116</v>
      </c>
      <c r="C395" s="20" t="s">
        <v>483</v>
      </c>
    </row>
    <row r="396" spans="1:3">
      <c r="A396" s="20">
        <v>1115294965</v>
      </c>
      <c r="B396" s="20" t="s">
        <v>116</v>
      </c>
      <c r="C396" s="20" t="s">
        <v>275</v>
      </c>
    </row>
    <row r="397" spans="1:3">
      <c r="A397" s="20">
        <v>1115291927</v>
      </c>
      <c r="B397" s="20" t="s">
        <v>116</v>
      </c>
      <c r="C397" s="20" t="s">
        <v>484</v>
      </c>
    </row>
    <row r="398" spans="1:3">
      <c r="A398" s="20">
        <v>1115291849</v>
      </c>
      <c r="B398" s="20" t="s">
        <v>116</v>
      </c>
      <c r="C398" s="20" t="s">
        <v>277</v>
      </c>
    </row>
    <row r="399" spans="1:3">
      <c r="A399" s="20">
        <v>1115290041</v>
      </c>
      <c r="B399" s="20" t="s">
        <v>116</v>
      </c>
      <c r="C399" s="20" t="s">
        <v>485</v>
      </c>
    </row>
    <row r="400" spans="1:3">
      <c r="A400" s="20">
        <v>1115285207</v>
      </c>
      <c r="B400" s="20" t="s">
        <v>116</v>
      </c>
      <c r="C400" s="20" t="s">
        <v>486</v>
      </c>
    </row>
    <row r="401" spans="1:3">
      <c r="A401" s="20">
        <v>1115272294</v>
      </c>
      <c r="B401" s="20" t="s">
        <v>116</v>
      </c>
      <c r="C401" s="20" t="s">
        <v>279</v>
      </c>
    </row>
    <row r="402" spans="1:3">
      <c r="A402" s="20">
        <v>1115258992</v>
      </c>
      <c r="B402" s="20" t="s">
        <v>116</v>
      </c>
      <c r="C402" s="20" t="s">
        <v>487</v>
      </c>
    </row>
    <row r="403" spans="1:3">
      <c r="A403" s="20">
        <v>1115317614</v>
      </c>
      <c r="B403" s="20" t="s">
        <v>117</v>
      </c>
      <c r="C403" s="20" t="s">
        <v>281</v>
      </c>
    </row>
    <row r="404" spans="1:3">
      <c r="A404" s="20">
        <v>1115258993</v>
      </c>
      <c r="B404" s="20" t="s">
        <v>116</v>
      </c>
      <c r="C404" s="20" t="s">
        <v>488</v>
      </c>
    </row>
    <row r="405" spans="1:3">
      <c r="A405" s="20">
        <v>1115317613</v>
      </c>
      <c r="B405" s="20" t="s">
        <v>117</v>
      </c>
      <c r="C405" s="20" t="s">
        <v>283</v>
      </c>
    </row>
    <row r="406" spans="1:3">
      <c r="A406" s="20">
        <v>1115342009</v>
      </c>
      <c r="B406" s="20" t="s">
        <v>116</v>
      </c>
      <c r="C406" s="20" t="s">
        <v>489</v>
      </c>
    </row>
    <row r="407" spans="1:3">
      <c r="A407" s="20">
        <v>1115317612</v>
      </c>
      <c r="B407" s="20" t="s">
        <v>117</v>
      </c>
      <c r="C407" s="20" t="s">
        <v>285</v>
      </c>
    </row>
    <row r="408" spans="1:3">
      <c r="A408" s="20">
        <v>1115310711</v>
      </c>
      <c r="B408" s="20" t="s">
        <v>117</v>
      </c>
      <c r="C408" s="20" t="s">
        <v>287</v>
      </c>
    </row>
    <row r="409" spans="1:3">
      <c r="A409" s="20">
        <v>1115334757</v>
      </c>
      <c r="B409" s="20" t="s">
        <v>116</v>
      </c>
      <c r="C409" s="20" t="s">
        <v>490</v>
      </c>
    </row>
    <row r="410" spans="1:3">
      <c r="A410" s="20">
        <v>1115280519</v>
      </c>
      <c r="B410" s="20" t="s">
        <v>116</v>
      </c>
      <c r="C410" s="20" t="s">
        <v>289</v>
      </c>
    </row>
    <row r="411" spans="1:3">
      <c r="A411" s="20">
        <v>1115309231</v>
      </c>
      <c r="B411" s="20" t="s">
        <v>116</v>
      </c>
      <c r="C411" s="20" t="s">
        <v>491</v>
      </c>
    </row>
    <row r="412" spans="1:3">
      <c r="A412" s="20">
        <v>1115282514</v>
      </c>
      <c r="B412" s="20" t="s">
        <v>116</v>
      </c>
      <c r="C412" s="20" t="s">
        <v>290</v>
      </c>
    </row>
    <row r="413" spans="1:3">
      <c r="A413" s="20">
        <v>1115309230</v>
      </c>
      <c r="B413" s="20" t="s">
        <v>116</v>
      </c>
      <c r="C413" s="20" t="s">
        <v>492</v>
      </c>
    </row>
    <row r="414" spans="1:3">
      <c r="A414" s="20">
        <v>1115272295</v>
      </c>
      <c r="B414" s="20" t="s">
        <v>116</v>
      </c>
      <c r="C414" s="20" t="s">
        <v>293</v>
      </c>
    </row>
    <row r="415" spans="1:3">
      <c r="A415" s="20">
        <v>1115308147</v>
      </c>
      <c r="B415" s="20" t="s">
        <v>116</v>
      </c>
      <c r="C415" s="20" t="s">
        <v>493</v>
      </c>
    </row>
    <row r="416" spans="1:3">
      <c r="A416" s="20">
        <v>1115321296</v>
      </c>
      <c r="B416" s="20" t="s">
        <v>116</v>
      </c>
      <c r="C416" s="20" t="s">
        <v>295</v>
      </c>
    </row>
    <row r="417" spans="1:3">
      <c r="A417" s="20">
        <v>1115290053</v>
      </c>
      <c r="B417" s="20" t="s">
        <v>116</v>
      </c>
      <c r="C417" s="20" t="s">
        <v>494</v>
      </c>
    </row>
    <row r="418" spans="1:3">
      <c r="A418" s="20">
        <v>1115321290</v>
      </c>
      <c r="B418" s="20" t="s">
        <v>116</v>
      </c>
      <c r="C418" s="20" t="s">
        <v>297</v>
      </c>
    </row>
    <row r="419" spans="1:3">
      <c r="A419" s="20">
        <v>1115288994</v>
      </c>
      <c r="B419" s="20" t="s">
        <v>116</v>
      </c>
      <c r="C419" s="20" t="s">
        <v>495</v>
      </c>
    </row>
    <row r="420" spans="1:3">
      <c r="A420" s="20">
        <v>1115310692</v>
      </c>
      <c r="B420" s="20" t="s">
        <v>117</v>
      </c>
      <c r="C420" s="20" t="s">
        <v>299</v>
      </c>
    </row>
    <row r="421" spans="1:3">
      <c r="A421" s="20">
        <v>1115288991</v>
      </c>
      <c r="B421" s="20" t="s">
        <v>116</v>
      </c>
      <c r="C421" s="20" t="s">
        <v>496</v>
      </c>
    </row>
    <row r="422" spans="1:3">
      <c r="A422" s="20">
        <v>1115311452</v>
      </c>
      <c r="B422" s="20" t="s">
        <v>116</v>
      </c>
      <c r="C422" s="20" t="s">
        <v>300</v>
      </c>
    </row>
    <row r="423" spans="1:3">
      <c r="A423" s="20">
        <v>1115268667</v>
      </c>
      <c r="B423" s="20" t="s">
        <v>116</v>
      </c>
      <c r="C423" s="20" t="s">
        <v>497</v>
      </c>
    </row>
    <row r="424" spans="1:3">
      <c r="A424" s="20">
        <v>1115311451</v>
      </c>
      <c r="B424" s="20" t="s">
        <v>116</v>
      </c>
      <c r="C424" s="20" t="s">
        <v>303</v>
      </c>
    </row>
    <row r="425" spans="1:3">
      <c r="A425" s="20">
        <v>1115308150</v>
      </c>
      <c r="B425" s="20" t="s">
        <v>116</v>
      </c>
      <c r="C425" s="20" t="s">
        <v>498</v>
      </c>
    </row>
    <row r="426" spans="1:3">
      <c r="A426" s="20">
        <v>1115310676</v>
      </c>
      <c r="B426" s="20" t="s">
        <v>117</v>
      </c>
      <c r="C426" s="20" t="s">
        <v>305</v>
      </c>
    </row>
    <row r="427" spans="1:3">
      <c r="A427" s="20">
        <v>1115295485</v>
      </c>
      <c r="B427" s="20" t="s">
        <v>116</v>
      </c>
      <c r="C427" s="20" t="s">
        <v>499</v>
      </c>
    </row>
    <row r="428" spans="1:3">
      <c r="A428" s="20">
        <v>1115310673</v>
      </c>
      <c r="B428" s="20" t="s">
        <v>117</v>
      </c>
      <c r="C428" s="20" t="s">
        <v>306</v>
      </c>
    </row>
    <row r="429" spans="1:3">
      <c r="A429" s="20">
        <v>1115295506</v>
      </c>
      <c r="B429" s="20" t="s">
        <v>116</v>
      </c>
      <c r="C429" s="20" t="s">
        <v>500</v>
      </c>
    </row>
    <row r="430" spans="1:3">
      <c r="A430" s="20">
        <v>1115310670</v>
      </c>
      <c r="B430" s="20" t="s">
        <v>117</v>
      </c>
      <c r="C430" s="20" t="s">
        <v>308</v>
      </c>
    </row>
    <row r="431" spans="1:3">
      <c r="A431" s="20">
        <v>1115268665</v>
      </c>
      <c r="B431" s="20" t="s">
        <v>116</v>
      </c>
      <c r="C431" s="20" t="s">
        <v>501</v>
      </c>
    </row>
    <row r="432" spans="1:3">
      <c r="A432" s="20">
        <v>1115310665</v>
      </c>
      <c r="B432" s="20" t="s">
        <v>117</v>
      </c>
      <c r="C432" s="20" t="s">
        <v>310</v>
      </c>
    </row>
    <row r="433" spans="1:3">
      <c r="A433" s="20">
        <v>1115309229</v>
      </c>
      <c r="B433" s="20" t="s">
        <v>116</v>
      </c>
      <c r="C433" s="20" t="s">
        <v>502</v>
      </c>
    </row>
    <row r="434" spans="1:3">
      <c r="A434" s="20">
        <v>1115300437</v>
      </c>
      <c r="B434" s="20" t="s">
        <v>116</v>
      </c>
      <c r="C434" s="20" t="s">
        <v>312</v>
      </c>
    </row>
    <row r="435" spans="1:3">
      <c r="A435" s="20">
        <v>1115308154</v>
      </c>
      <c r="B435" s="20" t="s">
        <v>116</v>
      </c>
      <c r="C435" s="20" t="s">
        <v>503</v>
      </c>
    </row>
    <row r="436" spans="1:3">
      <c r="A436" s="20">
        <v>1115300438</v>
      </c>
      <c r="B436" s="20" t="s">
        <v>116</v>
      </c>
      <c r="C436" s="20" t="s">
        <v>314</v>
      </c>
    </row>
    <row r="437" spans="1:3">
      <c r="A437" s="20">
        <v>1115308148</v>
      </c>
      <c r="B437" s="20" t="s">
        <v>116</v>
      </c>
      <c r="C437" s="20" t="s">
        <v>504</v>
      </c>
    </row>
    <row r="438" spans="1:3">
      <c r="A438" s="20">
        <v>1115184365</v>
      </c>
      <c r="B438" s="20" t="s">
        <v>116</v>
      </c>
      <c r="C438" s="20" t="s">
        <v>316</v>
      </c>
    </row>
    <row r="439" spans="1:3">
      <c r="A439" s="20">
        <v>1115321011</v>
      </c>
      <c r="B439" s="20" t="s">
        <v>116</v>
      </c>
      <c r="C439" s="20" t="s">
        <v>318</v>
      </c>
    </row>
    <row r="440" spans="1:3">
      <c r="A440" s="20">
        <v>1115290054</v>
      </c>
      <c r="B440" s="20" t="s">
        <v>116</v>
      </c>
      <c r="C440" s="20" t="s">
        <v>505</v>
      </c>
    </row>
    <row r="441" spans="1:3">
      <c r="A441" s="20">
        <v>1115326912</v>
      </c>
      <c r="B441" s="20" t="s">
        <v>116</v>
      </c>
      <c r="C441" s="20" t="s">
        <v>320</v>
      </c>
    </row>
    <row r="442" spans="1:3">
      <c r="A442" s="20">
        <v>1115288998</v>
      </c>
      <c r="B442" s="20" t="s">
        <v>116</v>
      </c>
      <c r="C442" s="20" t="s">
        <v>506</v>
      </c>
    </row>
    <row r="443" spans="1:3">
      <c r="A443" s="20">
        <v>1115325823</v>
      </c>
      <c r="B443" s="20" t="s">
        <v>116</v>
      </c>
      <c r="C443" s="20" t="s">
        <v>322</v>
      </c>
    </row>
    <row r="444" spans="1:3">
      <c r="A444" s="20">
        <v>1115288997</v>
      </c>
      <c r="B444" s="20" t="s">
        <v>116</v>
      </c>
      <c r="C444" s="20" t="s">
        <v>507</v>
      </c>
    </row>
    <row r="445" spans="1:3">
      <c r="A445" s="20">
        <v>1115325822</v>
      </c>
      <c r="B445" s="20" t="s">
        <v>116</v>
      </c>
      <c r="C445" s="20" t="s">
        <v>324</v>
      </c>
    </row>
    <row r="446" spans="1:3">
      <c r="A446" s="20">
        <v>1115288996</v>
      </c>
      <c r="B446" s="20" t="s">
        <v>116</v>
      </c>
      <c r="C446" s="20" t="s">
        <v>508</v>
      </c>
    </row>
    <row r="447" spans="1:3">
      <c r="A447" s="20">
        <v>1115310684</v>
      </c>
      <c r="B447" s="20" t="s">
        <v>117</v>
      </c>
      <c r="C447" s="20" t="s">
        <v>326</v>
      </c>
    </row>
    <row r="448" spans="1:3">
      <c r="A448" s="20">
        <v>1115288995</v>
      </c>
      <c r="B448" s="20" t="s">
        <v>116</v>
      </c>
      <c r="C448" s="20" t="s">
        <v>509</v>
      </c>
    </row>
    <row r="449" spans="1:3">
      <c r="A449" s="20">
        <v>1115310683</v>
      </c>
      <c r="B449" s="20" t="s">
        <v>117</v>
      </c>
      <c r="C449" s="20" t="s">
        <v>327</v>
      </c>
    </row>
    <row r="450" spans="1:3">
      <c r="A450" s="20">
        <v>1115288992</v>
      </c>
      <c r="B450" s="20" t="s">
        <v>116</v>
      </c>
      <c r="C450" s="20" t="s">
        <v>510</v>
      </c>
    </row>
    <row r="451" spans="1:3">
      <c r="A451" s="20">
        <v>1115326360</v>
      </c>
      <c r="B451" s="20" t="s">
        <v>116</v>
      </c>
      <c r="C451" s="20" t="s">
        <v>329</v>
      </c>
    </row>
    <row r="452" spans="1:3">
      <c r="A452" s="20">
        <v>1115286244</v>
      </c>
      <c r="B452" s="20" t="s">
        <v>116</v>
      </c>
      <c r="C452" s="20" t="s">
        <v>511</v>
      </c>
    </row>
    <row r="453" spans="1:3">
      <c r="A453" s="20">
        <v>1115300441</v>
      </c>
      <c r="B453" s="20" t="s">
        <v>116</v>
      </c>
      <c r="C453" s="20" t="s">
        <v>331</v>
      </c>
    </row>
    <row r="454" spans="1:3">
      <c r="A454" s="20">
        <v>1115325878</v>
      </c>
      <c r="B454" s="20" t="s">
        <v>116</v>
      </c>
      <c r="C454" s="20" t="s">
        <v>512</v>
      </c>
    </row>
    <row r="455" spans="1:3">
      <c r="A455" s="20">
        <v>1115293937</v>
      </c>
      <c r="B455" s="20" t="s">
        <v>116</v>
      </c>
      <c r="C455" s="20" t="s">
        <v>333</v>
      </c>
    </row>
    <row r="456" spans="1:3">
      <c r="A456" s="20">
        <v>1115288993</v>
      </c>
      <c r="B456" s="20" t="s">
        <v>116</v>
      </c>
      <c r="C456" s="20" t="s">
        <v>513</v>
      </c>
    </row>
    <row r="457" spans="1:3">
      <c r="A457" s="20">
        <v>1115292357</v>
      </c>
      <c r="B457" s="20" t="s">
        <v>116</v>
      </c>
      <c r="C457" s="20" t="s">
        <v>335</v>
      </c>
    </row>
    <row r="458" spans="1:3">
      <c r="A458" s="20">
        <v>1115292240</v>
      </c>
      <c r="B458" s="20" t="s">
        <v>117</v>
      </c>
      <c r="C458" s="20" t="s">
        <v>514</v>
      </c>
    </row>
    <row r="459" spans="1:3">
      <c r="A459" s="20">
        <v>1115289009</v>
      </c>
      <c r="B459" s="20" t="s">
        <v>116</v>
      </c>
      <c r="C459" s="20" t="s">
        <v>337</v>
      </c>
    </row>
    <row r="460" spans="1:3">
      <c r="A460" s="20">
        <v>1115292239</v>
      </c>
      <c r="B460" s="20" t="s">
        <v>117</v>
      </c>
      <c r="C460" s="20" t="s">
        <v>515</v>
      </c>
    </row>
    <row r="461" spans="1:3">
      <c r="A461" s="20">
        <v>1115289010</v>
      </c>
      <c r="B461" s="20" t="s">
        <v>116</v>
      </c>
      <c r="C461" s="20" t="s">
        <v>339</v>
      </c>
    </row>
    <row r="462" spans="1:3">
      <c r="A462" s="20">
        <v>1115333538</v>
      </c>
      <c r="B462" s="20" t="s">
        <v>116</v>
      </c>
      <c r="C462" s="20" t="s">
        <v>516</v>
      </c>
    </row>
    <row r="463" spans="1:3">
      <c r="A463" s="20">
        <v>1115277461</v>
      </c>
      <c r="B463" s="20" t="s">
        <v>116</v>
      </c>
      <c r="C463" s="20" t="s">
        <v>341</v>
      </c>
    </row>
    <row r="464" spans="1:3">
      <c r="A464" s="20">
        <v>1115345584</v>
      </c>
      <c r="B464" s="20" t="s">
        <v>116</v>
      </c>
      <c r="C464" s="20" t="s">
        <v>517</v>
      </c>
    </row>
    <row r="465" spans="1:3">
      <c r="A465" s="20">
        <v>1115296129</v>
      </c>
      <c r="B465" s="20" t="s">
        <v>116</v>
      </c>
      <c r="C465" s="20" t="s">
        <v>343</v>
      </c>
    </row>
    <row r="466" spans="1:3">
      <c r="A466" s="20">
        <v>1115296216</v>
      </c>
      <c r="B466" s="20" t="s">
        <v>116</v>
      </c>
      <c r="C466" s="20" t="s">
        <v>518</v>
      </c>
    </row>
    <row r="467" spans="1:3">
      <c r="A467" s="20">
        <v>1115296120</v>
      </c>
      <c r="B467" s="20" t="s">
        <v>116</v>
      </c>
      <c r="C467" s="20" t="s">
        <v>345</v>
      </c>
    </row>
    <row r="468" spans="1:3">
      <c r="A468" s="20">
        <v>1115296037</v>
      </c>
      <c r="B468" s="20" t="s">
        <v>116</v>
      </c>
      <c r="C468" s="20" t="s">
        <v>519</v>
      </c>
    </row>
    <row r="469" spans="1:3">
      <c r="A469" s="20">
        <v>1115296119</v>
      </c>
      <c r="B469" s="20" t="s">
        <v>116</v>
      </c>
      <c r="C469" s="20" t="s">
        <v>347</v>
      </c>
    </row>
    <row r="470" spans="1:3">
      <c r="A470" s="20">
        <v>1115296043</v>
      </c>
      <c r="B470" s="20" t="s">
        <v>116</v>
      </c>
      <c r="C470" s="20" t="s">
        <v>520</v>
      </c>
    </row>
    <row r="471" spans="1:3">
      <c r="A471" s="20">
        <v>1115296124</v>
      </c>
      <c r="B471" s="20" t="s">
        <v>116</v>
      </c>
      <c r="C471" s="20" t="s">
        <v>349</v>
      </c>
    </row>
    <row r="472" spans="1:3">
      <c r="A472" s="20">
        <v>1115296225</v>
      </c>
      <c r="B472" s="20" t="s">
        <v>116</v>
      </c>
      <c r="C472" s="20" t="s">
        <v>351</v>
      </c>
    </row>
    <row r="473" spans="1:3">
      <c r="A473" s="20">
        <v>1115296039</v>
      </c>
      <c r="B473" s="20" t="s">
        <v>116</v>
      </c>
      <c r="C473" s="20" t="s">
        <v>521</v>
      </c>
    </row>
    <row r="474" spans="1:3">
      <c r="A474" s="20">
        <v>1115294797</v>
      </c>
      <c r="B474" s="20" t="s">
        <v>116</v>
      </c>
      <c r="C474" s="20" t="s">
        <v>353</v>
      </c>
    </row>
    <row r="475" spans="1:3">
      <c r="A475" s="20">
        <v>1115343758</v>
      </c>
      <c r="B475" s="20" t="s">
        <v>116</v>
      </c>
      <c r="C475" s="20" t="s">
        <v>522</v>
      </c>
    </row>
    <row r="476" spans="1:3">
      <c r="A476" s="20">
        <v>1115345603</v>
      </c>
      <c r="B476" s="20" t="s">
        <v>116</v>
      </c>
      <c r="C476" s="20" t="s">
        <v>523</v>
      </c>
    </row>
    <row r="477" spans="1:3">
      <c r="A477" s="20">
        <v>1115294800</v>
      </c>
      <c r="B477" s="20" t="s">
        <v>116</v>
      </c>
      <c r="C477" s="20" t="s">
        <v>355</v>
      </c>
    </row>
    <row r="478" spans="1:3">
      <c r="A478" s="20">
        <v>1115345153</v>
      </c>
      <c r="B478" s="20" t="s">
        <v>116</v>
      </c>
      <c r="C478" s="20" t="s">
        <v>524</v>
      </c>
    </row>
    <row r="479" spans="1:3">
      <c r="A479" s="20">
        <v>1115296228</v>
      </c>
      <c r="B479" s="20" t="s">
        <v>116</v>
      </c>
      <c r="C479" s="20" t="s">
        <v>357</v>
      </c>
    </row>
    <row r="480" spans="1:3">
      <c r="A480" s="20">
        <v>1115348148</v>
      </c>
      <c r="B480" s="20" t="s">
        <v>116</v>
      </c>
      <c r="C480" s="20" t="s">
        <v>525</v>
      </c>
    </row>
    <row r="481" spans="1:3">
      <c r="A481" s="20">
        <v>1115296031</v>
      </c>
      <c r="B481" s="20" t="s">
        <v>116</v>
      </c>
      <c r="C481" s="20" t="s">
        <v>359</v>
      </c>
    </row>
    <row r="482" spans="1:3">
      <c r="A482" s="20">
        <v>1115347471</v>
      </c>
      <c r="B482" s="20" t="s">
        <v>116</v>
      </c>
      <c r="C482" s="20" t="s">
        <v>526</v>
      </c>
    </row>
    <row r="483" spans="1:3">
      <c r="A483" s="20">
        <v>1115295194</v>
      </c>
      <c r="B483" s="20" t="s">
        <v>116</v>
      </c>
      <c r="C483" s="20" t="s">
        <v>361</v>
      </c>
    </row>
    <row r="484" spans="1:3">
      <c r="A484" s="20">
        <v>1115342773</v>
      </c>
      <c r="B484" s="20" t="s">
        <v>116</v>
      </c>
      <c r="C484" s="20" t="s">
        <v>527</v>
      </c>
    </row>
    <row r="485" spans="1:3">
      <c r="A485" s="20">
        <v>1115296116</v>
      </c>
      <c r="B485" s="20" t="s">
        <v>116</v>
      </c>
      <c r="C485" s="20" t="s">
        <v>363</v>
      </c>
    </row>
    <row r="486" spans="1:3">
      <c r="A486" s="20">
        <v>1115296021</v>
      </c>
      <c r="B486" s="20" t="s">
        <v>116</v>
      </c>
      <c r="C486" s="20" t="s">
        <v>528</v>
      </c>
    </row>
    <row r="487" spans="1:3">
      <c r="A487" s="20">
        <v>1115296122</v>
      </c>
      <c r="B487" s="20" t="s">
        <v>116</v>
      </c>
      <c r="C487" s="20" t="s">
        <v>365</v>
      </c>
    </row>
    <row r="488" spans="1:3">
      <c r="A488" s="20">
        <v>1115296318</v>
      </c>
      <c r="B488" s="20" t="s">
        <v>116</v>
      </c>
      <c r="C488" s="20" t="s">
        <v>368</v>
      </c>
    </row>
    <row r="489" spans="1:3">
      <c r="A489" s="20">
        <v>1115272291</v>
      </c>
      <c r="B489" s="20" t="s">
        <v>116</v>
      </c>
      <c r="C489" s="20" t="s">
        <v>529</v>
      </c>
    </row>
    <row r="490" spans="1:3">
      <c r="A490" s="20">
        <v>1115295486</v>
      </c>
      <c r="B490" s="20" t="s">
        <v>116</v>
      </c>
      <c r="C490" s="20" t="s">
        <v>370</v>
      </c>
    </row>
    <row r="491" spans="1:3">
      <c r="A491" s="20">
        <v>1115326539</v>
      </c>
      <c r="B491" s="20" t="s">
        <v>117</v>
      </c>
      <c r="C491" s="20" t="s">
        <v>530</v>
      </c>
    </row>
    <row r="492" spans="1:3">
      <c r="A492" s="20">
        <v>1115295507</v>
      </c>
      <c r="B492" s="20" t="s">
        <v>116</v>
      </c>
      <c r="C492" s="20" t="s">
        <v>372</v>
      </c>
    </row>
    <row r="493" spans="1:3">
      <c r="A493" s="20">
        <v>1115341407</v>
      </c>
      <c r="B493" s="20" t="s">
        <v>116</v>
      </c>
      <c r="C493" s="20" t="s">
        <v>531</v>
      </c>
    </row>
    <row r="494" spans="1:3">
      <c r="A494" s="20">
        <v>1115295477</v>
      </c>
      <c r="B494" s="20" t="s">
        <v>116</v>
      </c>
      <c r="C494" s="20" t="s">
        <v>373</v>
      </c>
    </row>
    <row r="495" spans="1:3">
      <c r="A495" s="20">
        <v>1115294784</v>
      </c>
      <c r="B495" s="20" t="s">
        <v>116</v>
      </c>
      <c r="C495" s="20" t="s">
        <v>532</v>
      </c>
    </row>
    <row r="496" spans="1:3">
      <c r="A496" s="20">
        <v>1115295497</v>
      </c>
      <c r="B496" s="20" t="s">
        <v>116</v>
      </c>
      <c r="C496" s="20" t="s">
        <v>375</v>
      </c>
    </row>
    <row r="497" spans="1:3">
      <c r="A497" s="20">
        <v>1115272273</v>
      </c>
      <c r="B497" s="20" t="s">
        <v>116</v>
      </c>
      <c r="C497" s="20" t="s">
        <v>533</v>
      </c>
    </row>
    <row r="498" spans="1:3">
      <c r="A498" s="20">
        <v>1115294804</v>
      </c>
      <c r="B498" s="20" t="s">
        <v>116</v>
      </c>
      <c r="C498" s="20" t="s">
        <v>377</v>
      </c>
    </row>
    <row r="499" spans="1:3">
      <c r="A499" s="20">
        <v>1115306207</v>
      </c>
      <c r="B499" s="20" t="s">
        <v>116</v>
      </c>
      <c r="C499" s="20" t="s">
        <v>534</v>
      </c>
    </row>
    <row r="500" spans="1:3">
      <c r="A500" s="20">
        <v>1115291232</v>
      </c>
      <c r="B500" s="20" t="s">
        <v>116</v>
      </c>
      <c r="C500" s="20" t="s">
        <v>379</v>
      </c>
    </row>
    <row r="501" spans="1:3">
      <c r="A501" s="20">
        <v>1115291235</v>
      </c>
      <c r="B501" s="20" t="s">
        <v>116</v>
      </c>
      <c r="C501" s="20" t="s">
        <v>381</v>
      </c>
    </row>
    <row r="502" spans="1:3">
      <c r="A502" s="20">
        <v>1115306209</v>
      </c>
      <c r="B502" s="20" t="s">
        <v>116</v>
      </c>
      <c r="C502" s="20" t="s">
        <v>535</v>
      </c>
    </row>
    <row r="503" spans="1:3">
      <c r="A503" s="20">
        <v>1115291237</v>
      </c>
      <c r="B503" s="20" t="s">
        <v>116</v>
      </c>
      <c r="C503" s="20" t="s">
        <v>383</v>
      </c>
    </row>
    <row r="504" spans="1:3">
      <c r="A504" s="20">
        <v>1115306210</v>
      </c>
      <c r="B504" s="20" t="s">
        <v>116</v>
      </c>
      <c r="C504" s="20" t="s">
        <v>536</v>
      </c>
    </row>
    <row r="505" spans="1:3">
      <c r="A505" s="20">
        <v>1115272287</v>
      </c>
      <c r="B505" s="20" t="s">
        <v>116</v>
      </c>
      <c r="C505" s="20" t="s">
        <v>385</v>
      </c>
    </row>
    <row r="506" spans="1:3">
      <c r="A506" s="20">
        <v>1115306211</v>
      </c>
      <c r="B506" s="20" t="s">
        <v>116</v>
      </c>
      <c r="C506" s="20" t="s">
        <v>537</v>
      </c>
    </row>
    <row r="507" spans="1:3">
      <c r="A507" s="20">
        <v>1115272280</v>
      </c>
      <c r="B507" s="20" t="s">
        <v>116</v>
      </c>
      <c r="C507" s="20" t="s">
        <v>387</v>
      </c>
    </row>
    <row r="508" spans="1:3">
      <c r="A508" s="20">
        <v>1115294094</v>
      </c>
      <c r="B508" s="20" t="s">
        <v>116</v>
      </c>
      <c r="C508" s="20" t="s">
        <v>538</v>
      </c>
    </row>
    <row r="509" spans="1:3">
      <c r="A509" s="20">
        <v>1115272279</v>
      </c>
      <c r="B509" s="20" t="s">
        <v>116</v>
      </c>
      <c r="C509" s="20" t="s">
        <v>390</v>
      </c>
    </row>
    <row r="510" spans="1:3">
      <c r="A510" s="20">
        <v>1115294089</v>
      </c>
      <c r="B510" s="20" t="s">
        <v>116</v>
      </c>
      <c r="C510" s="20" t="s">
        <v>539</v>
      </c>
    </row>
    <row r="511" spans="1:3">
      <c r="A511" s="20">
        <v>1115272278</v>
      </c>
      <c r="B511" s="20" t="s">
        <v>116</v>
      </c>
      <c r="C511" s="20" t="s">
        <v>392</v>
      </c>
    </row>
    <row r="512" spans="1:3">
      <c r="A512" s="20">
        <v>1115294088</v>
      </c>
      <c r="B512" s="20" t="s">
        <v>116</v>
      </c>
      <c r="C512" s="20" t="s">
        <v>540</v>
      </c>
    </row>
    <row r="513" spans="1:3">
      <c r="A513" s="20">
        <v>1115300454</v>
      </c>
      <c r="B513" s="20" t="s">
        <v>116</v>
      </c>
      <c r="C513" s="20" t="s">
        <v>394</v>
      </c>
    </row>
    <row r="514" spans="1:3">
      <c r="A514" s="20">
        <v>1115296032</v>
      </c>
      <c r="B514" s="20" t="s">
        <v>116</v>
      </c>
      <c r="C514" s="20" t="s">
        <v>541</v>
      </c>
    </row>
    <row r="515" spans="1:3">
      <c r="A515" s="20">
        <v>1115300452</v>
      </c>
      <c r="B515" s="20" t="s">
        <v>116</v>
      </c>
      <c r="C515" s="20" t="s">
        <v>396</v>
      </c>
    </row>
    <row r="516" spans="1:3">
      <c r="A516" s="20">
        <v>1115290763</v>
      </c>
      <c r="B516" s="20" t="s">
        <v>116</v>
      </c>
      <c r="C516" s="20" t="s">
        <v>542</v>
      </c>
    </row>
    <row r="517" spans="1:3">
      <c r="A517" s="20">
        <v>1115291824</v>
      </c>
      <c r="B517" s="20" t="s">
        <v>116</v>
      </c>
      <c r="C517" s="20" t="s">
        <v>398</v>
      </c>
    </row>
    <row r="518" spans="1:3">
      <c r="A518" s="20">
        <v>1115290764</v>
      </c>
      <c r="B518" s="20" t="s">
        <v>116</v>
      </c>
      <c r="C518" s="20" t="s">
        <v>543</v>
      </c>
    </row>
    <row r="519" spans="1:3">
      <c r="A519" s="20">
        <v>1115305067</v>
      </c>
      <c r="B519" s="20" t="s">
        <v>116</v>
      </c>
      <c r="C519" s="20" t="s">
        <v>400</v>
      </c>
    </row>
    <row r="520" spans="1:3">
      <c r="A520" s="20">
        <v>1115320200</v>
      </c>
      <c r="B520" s="20" t="s">
        <v>117</v>
      </c>
      <c r="C520" s="20" t="s">
        <v>544</v>
      </c>
    </row>
    <row r="521" spans="1:3">
      <c r="A521" s="20">
        <v>1115300453</v>
      </c>
      <c r="B521" s="20" t="s">
        <v>116</v>
      </c>
      <c r="C521" s="20" t="s">
        <v>402</v>
      </c>
    </row>
    <row r="522" spans="1:3">
      <c r="A522" s="20">
        <v>1115272267</v>
      </c>
      <c r="B522" s="20" t="s">
        <v>116</v>
      </c>
      <c r="C522" s="20" t="s">
        <v>545</v>
      </c>
    </row>
    <row r="523" spans="1:3">
      <c r="A523" s="20">
        <v>1115300484</v>
      </c>
      <c r="B523" s="20" t="s">
        <v>116</v>
      </c>
      <c r="C523" s="20" t="s">
        <v>404</v>
      </c>
    </row>
    <row r="524" spans="1:3">
      <c r="A524" s="20">
        <v>1115366609</v>
      </c>
      <c r="B524" s="20" t="s">
        <v>116</v>
      </c>
      <c r="C524" s="20" t="s">
        <v>546</v>
      </c>
    </row>
    <row r="525" spans="1:3">
      <c r="A525" s="20">
        <v>1115300485</v>
      </c>
      <c r="B525" s="20" t="s">
        <v>116</v>
      </c>
      <c r="C525" s="20" t="s">
        <v>406</v>
      </c>
    </row>
    <row r="526" spans="1:3">
      <c r="A526" s="20">
        <v>1115272271</v>
      </c>
      <c r="B526" s="20" t="s">
        <v>116</v>
      </c>
      <c r="C526" s="20" t="s">
        <v>547</v>
      </c>
    </row>
    <row r="527" spans="1:3">
      <c r="A527" s="20">
        <v>1115293732</v>
      </c>
      <c r="B527" s="20" t="s">
        <v>116</v>
      </c>
      <c r="C527" s="20" t="s">
        <v>408</v>
      </c>
    </row>
    <row r="528" spans="1:3">
      <c r="A528" s="20">
        <v>1115291539</v>
      </c>
      <c r="B528" s="20" t="s">
        <v>116</v>
      </c>
      <c r="C528" s="20" t="s">
        <v>548</v>
      </c>
    </row>
    <row r="529" spans="1:3">
      <c r="A529" s="20">
        <v>1115291238</v>
      </c>
      <c r="B529" s="20" t="s">
        <v>116</v>
      </c>
      <c r="C529" s="20" t="s">
        <v>410</v>
      </c>
    </row>
    <row r="530" spans="1:3">
      <c r="A530" s="20">
        <v>1115341406</v>
      </c>
      <c r="B530" s="20" t="s">
        <v>116</v>
      </c>
      <c r="C530" s="20" t="s">
        <v>549</v>
      </c>
    </row>
    <row r="531" spans="1:3">
      <c r="A531" s="20">
        <v>1115288759</v>
      </c>
      <c r="B531" s="20" t="s">
        <v>116</v>
      </c>
      <c r="C531" s="20" t="s">
        <v>412</v>
      </c>
    </row>
    <row r="532" spans="1:3">
      <c r="A532" s="20">
        <v>1115322229</v>
      </c>
      <c r="B532" s="20" t="s">
        <v>116</v>
      </c>
      <c r="C532" s="20" t="s">
        <v>550</v>
      </c>
    </row>
    <row r="533" spans="1:3">
      <c r="A533" s="20">
        <v>1115288757</v>
      </c>
      <c r="B533" s="20" t="s">
        <v>116</v>
      </c>
      <c r="C533" s="20" t="s">
        <v>414</v>
      </c>
    </row>
    <row r="534" spans="1:3">
      <c r="A534" s="20">
        <v>1115288761</v>
      </c>
      <c r="B534" s="20" t="s">
        <v>116</v>
      </c>
      <c r="C534" s="20" t="s">
        <v>416</v>
      </c>
    </row>
    <row r="535" spans="1:3">
      <c r="A535" s="20">
        <v>1115325426</v>
      </c>
      <c r="B535" s="20" t="s">
        <v>116</v>
      </c>
      <c r="C535" s="20" t="s">
        <v>551</v>
      </c>
    </row>
    <row r="536" spans="1:3">
      <c r="A536" s="20">
        <v>1115288758</v>
      </c>
      <c r="B536" s="20" t="s">
        <v>116</v>
      </c>
      <c r="C536" s="20" t="s">
        <v>418</v>
      </c>
    </row>
    <row r="537" spans="1:3">
      <c r="A537" s="20">
        <v>1115309645</v>
      </c>
      <c r="B537" s="20" t="s">
        <v>116</v>
      </c>
      <c r="C537" s="20" t="s">
        <v>552</v>
      </c>
    </row>
    <row r="538" spans="1:3">
      <c r="A538" s="20">
        <v>1115287826</v>
      </c>
      <c r="B538" s="20" t="s">
        <v>116</v>
      </c>
      <c r="C538" s="20" t="s">
        <v>420</v>
      </c>
    </row>
    <row r="539" spans="1:3">
      <c r="A539" s="20">
        <v>1115366440</v>
      </c>
      <c r="B539" s="20" t="s">
        <v>116</v>
      </c>
      <c r="C539" s="20" t="s">
        <v>553</v>
      </c>
    </row>
    <row r="540" spans="1:3">
      <c r="A540" s="20">
        <v>1115287825</v>
      </c>
      <c r="B540" s="20" t="s">
        <v>116</v>
      </c>
      <c r="C540" s="20" t="s">
        <v>422</v>
      </c>
    </row>
    <row r="541" spans="1:3">
      <c r="A541" s="20">
        <v>1115295450</v>
      </c>
      <c r="B541" s="20" t="s">
        <v>116</v>
      </c>
      <c r="C541" s="20" t="s">
        <v>554</v>
      </c>
    </row>
    <row r="542" spans="1:3">
      <c r="A542" s="20">
        <v>1115291233</v>
      </c>
      <c r="B542" s="20" t="s">
        <v>116</v>
      </c>
      <c r="C542" s="20" t="s">
        <v>424</v>
      </c>
    </row>
    <row r="543" spans="1:3">
      <c r="A543" s="20">
        <v>1115294806</v>
      </c>
      <c r="B543" s="20" t="s">
        <v>116</v>
      </c>
      <c r="C543" s="20" t="s">
        <v>555</v>
      </c>
    </row>
    <row r="544" spans="1:3">
      <c r="A544" s="20">
        <v>1115291234</v>
      </c>
      <c r="B544" s="20" t="s">
        <v>116</v>
      </c>
      <c r="C544" s="20" t="s">
        <v>426</v>
      </c>
    </row>
    <row r="545" spans="1:3">
      <c r="A545" s="20">
        <v>1115285210</v>
      </c>
      <c r="B545" s="20" t="s">
        <v>116</v>
      </c>
      <c r="C545" s="20" t="s">
        <v>556</v>
      </c>
    </row>
    <row r="546" spans="1:3">
      <c r="A546" s="20">
        <v>1115291236</v>
      </c>
      <c r="B546" s="20" t="s">
        <v>116</v>
      </c>
      <c r="C546" s="20" t="s">
        <v>428</v>
      </c>
    </row>
    <row r="547" spans="1:3">
      <c r="A547" s="20">
        <v>1115285202</v>
      </c>
      <c r="B547" s="20" t="s">
        <v>116</v>
      </c>
      <c r="C547" s="20" t="s">
        <v>557</v>
      </c>
    </row>
    <row r="548" spans="1:3">
      <c r="A548" s="20">
        <v>1115293818</v>
      </c>
      <c r="B548" s="20" t="s">
        <v>116</v>
      </c>
      <c r="C548" s="20" t="s">
        <v>430</v>
      </c>
    </row>
    <row r="549" spans="1:3">
      <c r="A549" s="20">
        <v>1115285283</v>
      </c>
      <c r="B549" s="20" t="s">
        <v>116</v>
      </c>
      <c r="C549" s="20" t="s">
        <v>558</v>
      </c>
    </row>
    <row r="550" spans="1:3">
      <c r="A550" s="20">
        <v>1115291394</v>
      </c>
      <c r="B550" s="20" t="s">
        <v>116</v>
      </c>
      <c r="C550" s="20" t="s">
        <v>432</v>
      </c>
    </row>
    <row r="551" spans="1:3">
      <c r="A551" s="20">
        <v>1115285282</v>
      </c>
      <c r="B551" s="20" t="s">
        <v>116</v>
      </c>
      <c r="C551" s="20" t="s">
        <v>559</v>
      </c>
    </row>
    <row r="552" spans="1:3">
      <c r="A552" s="20">
        <v>1115291395</v>
      </c>
      <c r="B552" s="20" t="s">
        <v>116</v>
      </c>
      <c r="C552" s="20" t="s">
        <v>433</v>
      </c>
    </row>
    <row r="553" spans="1:3">
      <c r="A553" s="20">
        <v>1115295464</v>
      </c>
      <c r="B553" s="20" t="s">
        <v>116</v>
      </c>
      <c r="C553" s="20" t="s">
        <v>560</v>
      </c>
    </row>
    <row r="554" spans="1:3">
      <c r="A554" s="20">
        <v>1115291239</v>
      </c>
      <c r="B554" s="20" t="s">
        <v>116</v>
      </c>
      <c r="C554" s="20" t="s">
        <v>434</v>
      </c>
    </row>
    <row r="555" spans="1:3">
      <c r="A555" s="20">
        <v>1115353284</v>
      </c>
      <c r="B555" s="20" t="s">
        <v>116</v>
      </c>
      <c r="C555" s="20" t="s">
        <v>561</v>
      </c>
    </row>
    <row r="556" spans="1:3">
      <c r="A556" s="20">
        <v>1115277460</v>
      </c>
      <c r="B556" s="20" t="s">
        <v>116</v>
      </c>
      <c r="C556" s="20" t="s">
        <v>435</v>
      </c>
    </row>
    <row r="557" spans="1:3">
      <c r="A557" s="20">
        <v>1115358508</v>
      </c>
      <c r="B557" s="20" t="s">
        <v>116</v>
      </c>
      <c r="C557" s="20" t="s">
        <v>562</v>
      </c>
    </row>
    <row r="558" spans="1:3">
      <c r="A558" s="20">
        <v>1115277459</v>
      </c>
      <c r="B558" s="20" t="s">
        <v>116</v>
      </c>
      <c r="C558" s="20" t="s">
        <v>436</v>
      </c>
    </row>
    <row r="559" spans="1:3">
      <c r="A559" s="20">
        <v>1115359858</v>
      </c>
      <c r="B559" s="20" t="s">
        <v>116</v>
      </c>
      <c r="C559" s="20" t="s">
        <v>563</v>
      </c>
    </row>
    <row r="560" spans="1:3">
      <c r="A560" s="20">
        <v>1115274123</v>
      </c>
      <c r="B560" s="20" t="s">
        <v>116</v>
      </c>
      <c r="C560" s="20" t="s">
        <v>437</v>
      </c>
    </row>
    <row r="561" spans="1:3">
      <c r="A561" s="20">
        <v>1115358955</v>
      </c>
      <c r="B561" s="20" t="s">
        <v>116</v>
      </c>
      <c r="C561" s="20" t="s">
        <v>564</v>
      </c>
    </row>
    <row r="562" spans="1:3">
      <c r="A562" s="20">
        <v>1115284482</v>
      </c>
      <c r="B562" s="20" t="s">
        <v>116</v>
      </c>
      <c r="C562" s="20" t="s">
        <v>438</v>
      </c>
    </row>
    <row r="563" spans="1:3">
      <c r="A563" s="20">
        <v>1115294368</v>
      </c>
      <c r="B563" s="20" t="s">
        <v>116</v>
      </c>
      <c r="C563" s="20" t="s">
        <v>565</v>
      </c>
    </row>
    <row r="564" spans="1:3">
      <c r="A564" s="20">
        <v>1115284481</v>
      </c>
      <c r="B564" s="20" t="s">
        <v>116</v>
      </c>
      <c r="C564" s="20" t="s">
        <v>439</v>
      </c>
    </row>
    <row r="565" spans="1:3">
      <c r="A565" s="20">
        <v>1115294369</v>
      </c>
      <c r="B565" s="20" t="s">
        <v>116</v>
      </c>
      <c r="C565" s="20" t="s">
        <v>566</v>
      </c>
    </row>
    <row r="566" spans="1:3">
      <c r="A566" s="20">
        <v>1115272292</v>
      </c>
      <c r="B566" s="20" t="s">
        <v>116</v>
      </c>
      <c r="C566" s="20" t="s">
        <v>440</v>
      </c>
    </row>
    <row r="567" spans="1:3">
      <c r="A567" s="20">
        <v>1115287533</v>
      </c>
      <c r="B567" s="20" t="s">
        <v>116</v>
      </c>
      <c r="C567" s="20" t="s">
        <v>567</v>
      </c>
    </row>
    <row r="568" spans="1:3">
      <c r="A568" s="20">
        <v>1115272277</v>
      </c>
      <c r="B568" s="20" t="s">
        <v>116</v>
      </c>
      <c r="C568" s="20" t="s">
        <v>441</v>
      </c>
    </row>
    <row r="569" spans="1:3">
      <c r="A569" s="20">
        <v>1115339906</v>
      </c>
      <c r="B569" s="20" t="s">
        <v>116</v>
      </c>
      <c r="C569" s="20" t="s">
        <v>568</v>
      </c>
    </row>
    <row r="570" spans="1:3">
      <c r="A570" s="20">
        <v>1114935979</v>
      </c>
      <c r="B570" s="20" t="s">
        <v>116</v>
      </c>
      <c r="C570" s="20" t="s">
        <v>442</v>
      </c>
    </row>
    <row r="571" spans="1:3">
      <c r="A571" s="20">
        <v>1115339908</v>
      </c>
      <c r="B571" s="20" t="s">
        <v>116</v>
      </c>
      <c r="C571" s="20" t="s">
        <v>569</v>
      </c>
    </row>
    <row r="572" spans="1:3">
      <c r="A572" s="20">
        <v>1114935978</v>
      </c>
      <c r="B572" s="20" t="s">
        <v>116</v>
      </c>
      <c r="C572" s="20" t="s">
        <v>443</v>
      </c>
    </row>
    <row r="573" spans="1:3">
      <c r="A573" s="20">
        <v>1115339910</v>
      </c>
      <c r="B573" s="20" t="s">
        <v>116</v>
      </c>
      <c r="C573" s="20" t="s">
        <v>570</v>
      </c>
    </row>
    <row r="574" spans="1:3">
      <c r="A574" s="20">
        <v>1114935980</v>
      </c>
      <c r="B574" s="20" t="s">
        <v>116</v>
      </c>
      <c r="C574" s="20" t="s">
        <v>444</v>
      </c>
    </row>
    <row r="575" spans="1:3">
      <c r="A575" s="20">
        <v>1115336416</v>
      </c>
      <c r="B575" s="20" t="s">
        <v>116</v>
      </c>
      <c r="C575" s="20" t="s">
        <v>571</v>
      </c>
    </row>
    <row r="576" spans="1:3">
      <c r="A576" s="20">
        <v>1115344445</v>
      </c>
      <c r="B576" s="20" t="s">
        <v>116</v>
      </c>
      <c r="C576" s="20" t="s">
        <v>445</v>
      </c>
    </row>
    <row r="577" spans="1:3">
      <c r="A577" s="20">
        <v>1115336417</v>
      </c>
      <c r="B577" s="20" t="s">
        <v>116</v>
      </c>
      <c r="C577" s="20" t="s">
        <v>572</v>
      </c>
    </row>
    <row r="578" spans="1:3">
      <c r="A578" s="20">
        <v>1115296047</v>
      </c>
      <c r="B578" s="20" t="s">
        <v>116</v>
      </c>
      <c r="C578" s="20" t="s">
        <v>446</v>
      </c>
    </row>
    <row r="579" spans="1:3">
      <c r="A579" s="20">
        <v>1115333892</v>
      </c>
      <c r="B579" s="20" t="s">
        <v>116</v>
      </c>
      <c r="C579" s="20" t="s">
        <v>573</v>
      </c>
    </row>
    <row r="580" spans="1:3">
      <c r="A580" s="20">
        <v>1115296221</v>
      </c>
      <c r="B580" s="20" t="s">
        <v>116</v>
      </c>
      <c r="C580" s="20" t="s">
        <v>447</v>
      </c>
    </row>
    <row r="581" spans="1:3">
      <c r="A581" s="20">
        <v>1115316058</v>
      </c>
      <c r="B581" s="20" t="s">
        <v>116</v>
      </c>
      <c r="C581" s="20" t="s">
        <v>574</v>
      </c>
    </row>
    <row r="582" spans="1:3">
      <c r="A582" s="20">
        <v>1115294777</v>
      </c>
      <c r="B582" s="20" t="s">
        <v>116</v>
      </c>
      <c r="C582" s="20" t="s">
        <v>448</v>
      </c>
    </row>
    <row r="583" spans="1:3">
      <c r="A583" s="20">
        <v>1115316060</v>
      </c>
      <c r="B583" s="20" t="s">
        <v>116</v>
      </c>
      <c r="C583" s="20" t="s">
        <v>575</v>
      </c>
    </row>
    <row r="584" spans="1:3">
      <c r="A584" s="20">
        <v>1115357687</v>
      </c>
      <c r="B584" s="20" t="s">
        <v>116</v>
      </c>
      <c r="C584" s="20" t="s">
        <v>449</v>
      </c>
    </row>
    <row r="585" spans="1:3">
      <c r="A585" s="20">
        <v>1115316059</v>
      </c>
      <c r="B585" s="20" t="s">
        <v>116</v>
      </c>
      <c r="C585" s="20" t="s">
        <v>576</v>
      </c>
    </row>
    <row r="586" spans="1:3">
      <c r="A586" s="20">
        <v>1115340733</v>
      </c>
      <c r="B586" s="20" t="s">
        <v>116</v>
      </c>
      <c r="C586" s="20" t="s">
        <v>450</v>
      </c>
    </row>
    <row r="587" spans="1:3">
      <c r="A587" s="20">
        <v>1115316053</v>
      </c>
      <c r="B587" s="20" t="s">
        <v>116</v>
      </c>
      <c r="C587" s="20" t="s">
        <v>577</v>
      </c>
    </row>
    <row r="588" spans="1:3">
      <c r="A588" s="20">
        <v>1115355438</v>
      </c>
      <c r="B588" s="20" t="s">
        <v>116</v>
      </c>
      <c r="C588" s="20" t="s">
        <v>451</v>
      </c>
    </row>
    <row r="589" spans="1:3">
      <c r="A589" s="20">
        <v>1115316057</v>
      </c>
      <c r="B589" s="20" t="s">
        <v>116</v>
      </c>
      <c r="C589" s="20" t="s">
        <v>578</v>
      </c>
    </row>
    <row r="590" spans="1:3">
      <c r="A590" s="20">
        <v>1115355439</v>
      </c>
      <c r="B590" s="20" t="s">
        <v>116</v>
      </c>
      <c r="C590" s="20" t="s">
        <v>452</v>
      </c>
    </row>
    <row r="591" spans="1:3">
      <c r="A591" s="20">
        <v>1115317042</v>
      </c>
      <c r="B591" s="20" t="s">
        <v>116</v>
      </c>
      <c r="C591" s="20" t="s">
        <v>453</v>
      </c>
    </row>
    <row r="592" spans="1:3">
      <c r="A592" s="20">
        <v>1115333882</v>
      </c>
      <c r="B592" s="20" t="s">
        <v>116</v>
      </c>
      <c r="C592" s="20" t="s">
        <v>579</v>
      </c>
    </row>
    <row r="593" spans="1:3">
      <c r="A593" s="20">
        <v>1115294801</v>
      </c>
      <c r="B593" s="20" t="s">
        <v>116</v>
      </c>
      <c r="C593" s="20" t="s">
        <v>454</v>
      </c>
    </row>
    <row r="594" spans="1:3">
      <c r="A594" s="20">
        <v>1115331049</v>
      </c>
      <c r="B594" s="20" t="s">
        <v>116</v>
      </c>
      <c r="C594" s="20" t="s">
        <v>580</v>
      </c>
    </row>
    <row r="595" spans="1:3">
      <c r="A595" s="20">
        <v>1115272275</v>
      </c>
      <c r="B595" s="20" t="s">
        <v>116</v>
      </c>
      <c r="C595" s="20" t="s">
        <v>455</v>
      </c>
    </row>
    <row r="596" spans="1:3">
      <c r="A596" s="20">
        <v>1115331050</v>
      </c>
      <c r="B596" s="20" t="s">
        <v>116</v>
      </c>
      <c r="C596" s="20" t="s">
        <v>581</v>
      </c>
    </row>
    <row r="597" spans="1:3">
      <c r="A597" s="20">
        <v>1115311666</v>
      </c>
      <c r="B597" s="20" t="s">
        <v>116</v>
      </c>
      <c r="C597" s="20" t="s">
        <v>456</v>
      </c>
    </row>
    <row r="598" spans="1:3">
      <c r="A598" s="20">
        <v>1115331051</v>
      </c>
      <c r="B598" s="20" t="s">
        <v>116</v>
      </c>
      <c r="C598" s="20" t="s">
        <v>582</v>
      </c>
    </row>
    <row r="599" spans="1:3">
      <c r="A599" s="20">
        <v>1115311649</v>
      </c>
      <c r="B599" s="20" t="s">
        <v>116</v>
      </c>
      <c r="C599" s="20" t="s">
        <v>457</v>
      </c>
    </row>
    <row r="600" spans="1:3">
      <c r="A600" s="20">
        <v>1115331052</v>
      </c>
      <c r="B600" s="20" t="s">
        <v>116</v>
      </c>
      <c r="C600" s="20" t="s">
        <v>583</v>
      </c>
    </row>
    <row r="601" spans="1:3">
      <c r="A601" s="20">
        <v>1115350509</v>
      </c>
      <c r="B601" s="20" t="s">
        <v>116</v>
      </c>
      <c r="C601" s="20" t="s">
        <v>458</v>
      </c>
    </row>
    <row r="602" spans="1:3">
      <c r="A602" s="20">
        <v>1115320166</v>
      </c>
      <c r="B602" s="20" t="s">
        <v>116</v>
      </c>
      <c r="C602" s="20" t="s">
        <v>584</v>
      </c>
    </row>
    <row r="603" spans="1:3">
      <c r="A603" s="20">
        <v>1115296219</v>
      </c>
      <c r="B603" s="20" t="s">
        <v>116</v>
      </c>
      <c r="C603" s="20" t="s">
        <v>459</v>
      </c>
    </row>
    <row r="604" spans="1:3">
      <c r="A604" s="20">
        <v>1115320167</v>
      </c>
      <c r="B604" s="20" t="s">
        <v>116</v>
      </c>
      <c r="C604" s="20" t="s">
        <v>585</v>
      </c>
    </row>
    <row r="605" spans="1:3">
      <c r="A605" s="20">
        <v>1115296038</v>
      </c>
      <c r="B605" s="20" t="s">
        <v>116</v>
      </c>
      <c r="C605" s="20" t="s">
        <v>460</v>
      </c>
    </row>
    <row r="606" spans="1:3">
      <c r="A606" s="20">
        <v>1115296041</v>
      </c>
      <c r="B606" s="20" t="s">
        <v>116</v>
      </c>
      <c r="C606" s="20" t="s">
        <v>586</v>
      </c>
    </row>
    <row r="607" spans="1:3">
      <c r="A607" s="20">
        <v>1115294778</v>
      </c>
      <c r="B607" s="20" t="s">
        <v>116</v>
      </c>
      <c r="C607" s="20" t="s">
        <v>461</v>
      </c>
    </row>
    <row r="608" spans="1:3">
      <c r="A608" s="20">
        <v>1115296042</v>
      </c>
      <c r="B608" s="20" t="s">
        <v>116</v>
      </c>
      <c r="C608" s="20" t="s">
        <v>587</v>
      </c>
    </row>
    <row r="609" spans="1:3">
      <c r="A609" s="20">
        <v>1115335108</v>
      </c>
      <c r="B609" s="20" t="s">
        <v>116</v>
      </c>
      <c r="C609" s="20" t="s">
        <v>462</v>
      </c>
    </row>
    <row r="610" spans="1:3">
      <c r="A610" s="20">
        <v>1115345273</v>
      </c>
      <c r="B610" s="20" t="s">
        <v>116</v>
      </c>
      <c r="C610" s="20" t="s">
        <v>588</v>
      </c>
    </row>
    <row r="611" spans="1:3">
      <c r="A611" s="20">
        <v>1115326814</v>
      </c>
      <c r="B611" s="20" t="s">
        <v>116</v>
      </c>
      <c r="C611" s="20" t="s">
        <v>463</v>
      </c>
    </row>
    <row r="612" spans="1:3">
      <c r="A612" s="20">
        <v>1115366443</v>
      </c>
      <c r="B612" s="20" t="s">
        <v>116</v>
      </c>
      <c r="C612" s="20" t="s">
        <v>464</v>
      </c>
    </row>
    <row r="613" spans="1:3">
      <c r="A613" s="20">
        <v>1115342629</v>
      </c>
      <c r="B613" s="20" t="s">
        <v>116</v>
      </c>
      <c r="C613" s="20" t="s">
        <v>589</v>
      </c>
    </row>
    <row r="614" spans="1:3">
      <c r="A614" s="20">
        <v>1115340910</v>
      </c>
      <c r="B614" s="20" t="s">
        <v>116</v>
      </c>
      <c r="C614" s="20" t="s">
        <v>590</v>
      </c>
    </row>
    <row r="615" spans="1:3">
      <c r="A615" s="20">
        <v>1115334403</v>
      </c>
      <c r="B615" s="20" t="s">
        <v>116</v>
      </c>
      <c r="C615" s="20" t="s">
        <v>465</v>
      </c>
    </row>
    <row r="616" spans="1:3">
      <c r="A616" s="20">
        <v>1115308829</v>
      </c>
      <c r="B616" s="20" t="s">
        <v>116</v>
      </c>
      <c r="C616" s="20" t="s">
        <v>466</v>
      </c>
    </row>
    <row r="617" spans="1:3">
      <c r="A617" s="20">
        <v>1115296014</v>
      </c>
      <c r="B617" s="20" t="s">
        <v>116</v>
      </c>
      <c r="C617" s="20" t="s">
        <v>591</v>
      </c>
    </row>
    <row r="618" spans="1:3">
      <c r="A618" s="20">
        <v>1115359951</v>
      </c>
      <c r="B618" s="20" t="s">
        <v>116</v>
      </c>
      <c r="C618" s="20" t="s">
        <v>467</v>
      </c>
    </row>
    <row r="619" spans="1:3">
      <c r="A619" s="20">
        <v>1115272270</v>
      </c>
      <c r="B619" s="20" t="s">
        <v>116</v>
      </c>
      <c r="C619" s="20" t="s">
        <v>592</v>
      </c>
    </row>
    <row r="620" spans="1:3">
      <c r="A620" s="20">
        <v>1115342057</v>
      </c>
      <c r="B620" s="20" t="s">
        <v>116</v>
      </c>
      <c r="C620" s="20" t="s">
        <v>468</v>
      </c>
    </row>
    <row r="621" spans="1:3">
      <c r="A621" s="20">
        <v>1115336276</v>
      </c>
      <c r="B621" s="20" t="s">
        <v>116</v>
      </c>
      <c r="C621" s="20" t="s">
        <v>469</v>
      </c>
    </row>
    <row r="622" spans="1:3">
      <c r="A622" s="20">
        <v>1115272268</v>
      </c>
      <c r="B622" s="20" t="s">
        <v>116</v>
      </c>
      <c r="C622" s="20" t="s">
        <v>593</v>
      </c>
    </row>
    <row r="623" spans="1:3">
      <c r="A623" s="20">
        <v>1115308828</v>
      </c>
      <c r="B623" s="20" t="s">
        <v>116</v>
      </c>
      <c r="C623" s="20" t="s">
        <v>470</v>
      </c>
    </row>
    <row r="624" spans="1:3">
      <c r="A624" s="20">
        <v>1115327030</v>
      </c>
      <c r="B624" s="20" t="s">
        <v>116</v>
      </c>
      <c r="C624" s="20" t="s">
        <v>594</v>
      </c>
    </row>
    <row r="625" spans="1:3">
      <c r="A625" s="20">
        <v>1115308825</v>
      </c>
      <c r="B625" s="20" t="s">
        <v>116</v>
      </c>
      <c r="C625" s="20" t="s">
        <v>471</v>
      </c>
    </row>
    <row r="626" spans="1:3">
      <c r="A626" s="20">
        <v>1115294318</v>
      </c>
      <c r="B626" s="20" t="s">
        <v>116</v>
      </c>
      <c r="C626" s="20" t="s">
        <v>595</v>
      </c>
    </row>
    <row r="627" spans="1:3">
      <c r="A627" s="20">
        <v>1115308824</v>
      </c>
      <c r="B627" s="20" t="s">
        <v>116</v>
      </c>
      <c r="C627" s="20" t="s">
        <v>472</v>
      </c>
    </row>
    <row r="628" spans="1:3">
      <c r="A628" s="20">
        <v>1115294327</v>
      </c>
      <c r="B628" s="20" t="s">
        <v>116</v>
      </c>
      <c r="C628" s="20" t="s">
        <v>596</v>
      </c>
    </row>
    <row r="629" spans="1:3">
      <c r="A629" s="20">
        <v>1115329511</v>
      </c>
      <c r="B629" s="20" t="s">
        <v>116</v>
      </c>
      <c r="C629" s="20" t="s">
        <v>473</v>
      </c>
    </row>
    <row r="630" spans="1:3">
      <c r="A630" s="20">
        <v>1115294320</v>
      </c>
      <c r="B630" s="20" t="s">
        <v>116</v>
      </c>
      <c r="C630" s="20" t="s">
        <v>597</v>
      </c>
    </row>
    <row r="631" spans="1:3">
      <c r="A631" s="20">
        <v>1115339109</v>
      </c>
      <c r="B631" s="20" t="s">
        <v>116</v>
      </c>
      <c r="C631" s="20" t="s">
        <v>474</v>
      </c>
    </row>
    <row r="632" spans="1:3">
      <c r="A632" s="20">
        <v>1115339108</v>
      </c>
      <c r="B632" s="20" t="s">
        <v>116</v>
      </c>
      <c r="C632" s="20" t="s">
        <v>475</v>
      </c>
    </row>
    <row r="633" spans="1:3">
      <c r="A633" s="20">
        <v>1115294322</v>
      </c>
      <c r="B633" s="20" t="s">
        <v>116</v>
      </c>
      <c r="C633" s="20" t="s">
        <v>598</v>
      </c>
    </row>
    <row r="634" spans="1:3">
      <c r="A634" s="20">
        <v>1115339107</v>
      </c>
      <c r="B634" s="20" t="s">
        <v>116</v>
      </c>
      <c r="C634" s="20" t="s">
        <v>476</v>
      </c>
    </row>
    <row r="635" spans="1:3">
      <c r="A635" s="20">
        <v>1115294325</v>
      </c>
      <c r="B635" s="20" t="s">
        <v>116</v>
      </c>
      <c r="C635" s="20" t="s">
        <v>599</v>
      </c>
    </row>
    <row r="636" spans="1:3">
      <c r="A636" s="20">
        <v>1115339106</v>
      </c>
      <c r="B636" s="20" t="s">
        <v>116</v>
      </c>
      <c r="C636" s="20" t="s">
        <v>477</v>
      </c>
    </row>
    <row r="637" spans="1:3">
      <c r="A637" s="20">
        <v>1115294211</v>
      </c>
      <c r="B637" s="20" t="s">
        <v>116</v>
      </c>
      <c r="C637" s="20" t="s">
        <v>600</v>
      </c>
    </row>
    <row r="638" spans="1:3">
      <c r="A638" s="20">
        <v>1115332822</v>
      </c>
      <c r="B638" s="20" t="s">
        <v>116</v>
      </c>
      <c r="C638" s="20" t="s">
        <v>478</v>
      </c>
    </row>
    <row r="639" spans="1:3">
      <c r="A639" s="20">
        <v>1115294312</v>
      </c>
      <c r="B639" s="20" t="s">
        <v>116</v>
      </c>
      <c r="C639" s="20" t="s">
        <v>140</v>
      </c>
    </row>
    <row r="640" spans="1:3">
      <c r="A640" s="20">
        <v>1115329508</v>
      </c>
      <c r="B640" s="20" t="s">
        <v>116</v>
      </c>
      <c r="C640" s="20" t="s">
        <v>479</v>
      </c>
    </row>
    <row r="641" spans="1:3">
      <c r="A641" s="20">
        <v>1115294316</v>
      </c>
      <c r="B641" s="20" t="s">
        <v>116</v>
      </c>
      <c r="C641" s="20" t="s">
        <v>143</v>
      </c>
    </row>
    <row r="642" spans="1:3">
      <c r="A642" s="20">
        <v>1115308153</v>
      </c>
      <c r="B642" s="20" t="s">
        <v>116</v>
      </c>
      <c r="C642" s="20" t="s">
        <v>480</v>
      </c>
    </row>
    <row r="643" spans="1:3">
      <c r="A643" s="20">
        <v>1115294321</v>
      </c>
      <c r="B643" s="20" t="s">
        <v>116</v>
      </c>
      <c r="C643" s="20" t="s">
        <v>147</v>
      </c>
    </row>
    <row r="644" spans="1:3">
      <c r="A644" s="20">
        <v>1115308152</v>
      </c>
      <c r="B644" s="20" t="s">
        <v>116</v>
      </c>
      <c r="C644" s="20" t="s">
        <v>481</v>
      </c>
    </row>
    <row r="645" spans="1:3">
      <c r="A645" s="20">
        <v>1115294317</v>
      </c>
      <c r="B645" s="20" t="s">
        <v>116</v>
      </c>
      <c r="C645" s="20" t="s">
        <v>150</v>
      </c>
    </row>
    <row r="646" spans="1:3">
      <c r="A646" s="20">
        <v>1115308151</v>
      </c>
      <c r="B646" s="20" t="s">
        <v>116</v>
      </c>
      <c r="C646" s="20" t="s">
        <v>482</v>
      </c>
    </row>
    <row r="647" spans="1:3">
      <c r="A647" s="20">
        <v>1115294319</v>
      </c>
      <c r="B647" s="20" t="s">
        <v>116</v>
      </c>
      <c r="C647" s="20" t="s">
        <v>153</v>
      </c>
    </row>
    <row r="648" spans="1:3">
      <c r="A648" s="20">
        <v>1115302843</v>
      </c>
      <c r="B648" s="20" t="s">
        <v>116</v>
      </c>
      <c r="C648" s="20" t="s">
        <v>483</v>
      </c>
    </row>
    <row r="649" spans="1:3">
      <c r="A649" s="20">
        <v>1115291927</v>
      </c>
      <c r="B649" s="20" t="s">
        <v>116</v>
      </c>
      <c r="C649" s="20" t="s">
        <v>484</v>
      </c>
    </row>
    <row r="650" spans="1:3">
      <c r="A650" s="20">
        <v>1115294313</v>
      </c>
      <c r="B650" s="20" t="s">
        <v>116</v>
      </c>
      <c r="C650" s="20" t="s">
        <v>157</v>
      </c>
    </row>
    <row r="651" spans="1:3">
      <c r="A651" s="20">
        <v>1115290041</v>
      </c>
      <c r="B651" s="20" t="s">
        <v>116</v>
      </c>
      <c r="C651" s="20" t="s">
        <v>485</v>
      </c>
    </row>
    <row r="652" spans="1:3">
      <c r="A652" s="20">
        <v>1115294323</v>
      </c>
      <c r="B652" s="20" t="s">
        <v>116</v>
      </c>
      <c r="C652" s="20" t="s">
        <v>160</v>
      </c>
    </row>
    <row r="653" spans="1:3">
      <c r="A653" s="20">
        <v>1115285207</v>
      </c>
      <c r="B653" s="20" t="s">
        <v>116</v>
      </c>
      <c r="C653" s="20" t="s">
        <v>486</v>
      </c>
    </row>
    <row r="654" spans="1:3">
      <c r="A654" s="20">
        <v>1115294314</v>
      </c>
      <c r="B654" s="20" t="s">
        <v>116</v>
      </c>
      <c r="C654" s="20" t="s">
        <v>164</v>
      </c>
    </row>
    <row r="655" spans="1:3">
      <c r="A655" s="20">
        <v>1115258992</v>
      </c>
      <c r="B655" s="20" t="s">
        <v>116</v>
      </c>
      <c r="C655" s="20" t="s">
        <v>487</v>
      </c>
    </row>
    <row r="656" spans="1:3">
      <c r="A656" s="20">
        <v>1115294326</v>
      </c>
      <c r="B656" s="20" t="s">
        <v>116</v>
      </c>
      <c r="C656" s="20" t="s">
        <v>167</v>
      </c>
    </row>
    <row r="657" spans="1:3">
      <c r="A657" s="20">
        <v>1115258993</v>
      </c>
      <c r="B657" s="20" t="s">
        <v>116</v>
      </c>
      <c r="C657" s="20" t="s">
        <v>488</v>
      </c>
    </row>
    <row r="658" spans="1:3">
      <c r="A658" s="20">
        <v>1115342009</v>
      </c>
      <c r="B658" s="20" t="s">
        <v>116</v>
      </c>
      <c r="C658" s="20" t="s">
        <v>489</v>
      </c>
    </row>
    <row r="659" spans="1:3">
      <c r="A659" s="20">
        <v>1115294324</v>
      </c>
      <c r="B659" s="20" t="s">
        <v>116</v>
      </c>
      <c r="C659" s="20" t="s">
        <v>170</v>
      </c>
    </row>
    <row r="660" spans="1:3">
      <c r="A660" s="20">
        <v>1115334757</v>
      </c>
      <c r="B660" s="20" t="s">
        <v>116</v>
      </c>
      <c r="C660" s="20" t="s">
        <v>490</v>
      </c>
    </row>
    <row r="661" spans="1:3">
      <c r="A661" s="20">
        <v>1115294315</v>
      </c>
      <c r="B661" s="20" t="s">
        <v>116</v>
      </c>
      <c r="C661" s="20" t="s">
        <v>175</v>
      </c>
    </row>
    <row r="662" spans="1:3">
      <c r="A662" s="20">
        <v>1115309231</v>
      </c>
      <c r="B662" s="20" t="s">
        <v>116</v>
      </c>
      <c r="C662" s="20" t="s">
        <v>491</v>
      </c>
    </row>
    <row r="663" spans="1:3">
      <c r="A663" s="20">
        <v>1115309230</v>
      </c>
      <c r="B663" s="20" t="s">
        <v>116</v>
      </c>
      <c r="C663" s="20" t="s">
        <v>492</v>
      </c>
    </row>
    <row r="664" spans="1:3">
      <c r="A664" s="20">
        <v>1115294328</v>
      </c>
      <c r="B664" s="20" t="s">
        <v>116</v>
      </c>
      <c r="C664" s="20" t="s">
        <v>177</v>
      </c>
    </row>
    <row r="665" spans="1:3">
      <c r="A665" s="20">
        <v>1115308147</v>
      </c>
      <c r="B665" s="20" t="s">
        <v>116</v>
      </c>
      <c r="C665" s="20" t="s">
        <v>493</v>
      </c>
    </row>
    <row r="666" spans="1:3">
      <c r="A666" s="20">
        <v>1115291835</v>
      </c>
      <c r="B666" s="20" t="s">
        <v>116</v>
      </c>
      <c r="C666" s="20" t="s">
        <v>180</v>
      </c>
    </row>
    <row r="667" spans="1:3">
      <c r="A667" s="20">
        <v>1115290053</v>
      </c>
      <c r="B667" s="20" t="s">
        <v>116</v>
      </c>
      <c r="C667" s="20" t="s">
        <v>494</v>
      </c>
    </row>
    <row r="668" spans="1:3">
      <c r="A668" s="20">
        <v>1115291836</v>
      </c>
      <c r="B668" s="20" t="s">
        <v>116</v>
      </c>
      <c r="C668" s="20" t="s">
        <v>183</v>
      </c>
    </row>
    <row r="669" spans="1:3">
      <c r="A669" s="20">
        <v>1115288994</v>
      </c>
      <c r="B669" s="20" t="s">
        <v>116</v>
      </c>
      <c r="C669" s="20" t="s">
        <v>495</v>
      </c>
    </row>
    <row r="670" spans="1:3">
      <c r="A670" s="20">
        <v>1115324151</v>
      </c>
      <c r="B670" s="20" t="s">
        <v>116</v>
      </c>
      <c r="C670" s="20" t="s">
        <v>186</v>
      </c>
    </row>
    <row r="671" spans="1:3">
      <c r="A671" s="20">
        <v>1115288991</v>
      </c>
      <c r="B671" s="20" t="s">
        <v>116</v>
      </c>
      <c r="C671" s="20" t="s">
        <v>496</v>
      </c>
    </row>
    <row r="672" spans="1:3">
      <c r="A672" s="20">
        <v>1115324147</v>
      </c>
      <c r="B672" s="20" t="s">
        <v>116</v>
      </c>
      <c r="C672" s="20" t="s">
        <v>189</v>
      </c>
    </row>
    <row r="673" spans="1:3">
      <c r="A673" s="20">
        <v>1115268667</v>
      </c>
      <c r="B673" s="20" t="s">
        <v>116</v>
      </c>
      <c r="C673" s="20" t="s">
        <v>497</v>
      </c>
    </row>
    <row r="674" spans="1:3">
      <c r="A674" s="20">
        <v>1115324148</v>
      </c>
      <c r="B674" s="20" t="s">
        <v>116</v>
      </c>
      <c r="C674" s="20" t="s">
        <v>192</v>
      </c>
    </row>
    <row r="675" spans="1:3">
      <c r="A675" s="20">
        <v>1115308150</v>
      </c>
      <c r="B675" s="20" t="s">
        <v>116</v>
      </c>
      <c r="C675" s="20" t="s">
        <v>498</v>
      </c>
    </row>
    <row r="676" spans="1:3">
      <c r="A676" s="20">
        <v>1115296046</v>
      </c>
      <c r="B676" s="20" t="s">
        <v>116</v>
      </c>
      <c r="C676" s="20" t="s">
        <v>195</v>
      </c>
    </row>
    <row r="677" spans="1:3">
      <c r="A677" s="20">
        <v>1115295485</v>
      </c>
      <c r="B677" s="20" t="s">
        <v>116</v>
      </c>
      <c r="C677" s="20" t="s">
        <v>499</v>
      </c>
    </row>
    <row r="678" spans="1:3">
      <c r="A678" s="20">
        <v>1115294787</v>
      </c>
      <c r="B678" s="20" t="s">
        <v>116</v>
      </c>
      <c r="C678" s="20" t="s">
        <v>198</v>
      </c>
    </row>
    <row r="679" spans="1:3">
      <c r="A679" s="20">
        <v>1115295506</v>
      </c>
      <c r="B679" s="20" t="s">
        <v>116</v>
      </c>
      <c r="C679" s="20" t="s">
        <v>500</v>
      </c>
    </row>
    <row r="680" spans="1:3">
      <c r="A680" s="20">
        <v>1115294785</v>
      </c>
      <c r="B680" s="20" t="s">
        <v>116</v>
      </c>
      <c r="C680" s="20" t="s">
        <v>201</v>
      </c>
    </row>
    <row r="681" spans="1:3">
      <c r="A681" s="20">
        <v>1115268665</v>
      </c>
      <c r="B681" s="20" t="s">
        <v>116</v>
      </c>
      <c r="C681" s="20" t="s">
        <v>501</v>
      </c>
    </row>
    <row r="682" spans="1:3">
      <c r="A682" s="20">
        <v>1115292998</v>
      </c>
      <c r="B682" s="20" t="s">
        <v>116</v>
      </c>
      <c r="C682" s="20" t="s">
        <v>203</v>
      </c>
    </row>
    <row r="683" spans="1:3">
      <c r="A683" s="20">
        <v>1115309229</v>
      </c>
      <c r="B683" s="20" t="s">
        <v>116</v>
      </c>
      <c r="C683" s="20" t="s">
        <v>502</v>
      </c>
    </row>
    <row r="684" spans="1:3">
      <c r="A684" s="20">
        <v>1115294960</v>
      </c>
      <c r="B684" s="20" t="s">
        <v>116</v>
      </c>
      <c r="C684" s="20" t="s">
        <v>206</v>
      </c>
    </row>
    <row r="685" spans="1:3">
      <c r="A685" s="20">
        <v>1115308154</v>
      </c>
      <c r="B685" s="20" t="s">
        <v>116</v>
      </c>
      <c r="C685" s="20" t="s">
        <v>503</v>
      </c>
    </row>
    <row r="686" spans="1:3">
      <c r="A686" s="20">
        <v>1115327029</v>
      </c>
      <c r="B686" s="20" t="s">
        <v>116</v>
      </c>
      <c r="C686" s="20" t="s">
        <v>211</v>
      </c>
    </row>
    <row r="687" spans="1:3">
      <c r="A687" s="20">
        <v>1115308148</v>
      </c>
      <c r="B687" s="20" t="s">
        <v>116</v>
      </c>
      <c r="C687" s="20" t="s">
        <v>504</v>
      </c>
    </row>
    <row r="688" spans="1:3">
      <c r="A688" s="20">
        <v>1115271286</v>
      </c>
      <c r="B688" s="20" t="s">
        <v>116</v>
      </c>
      <c r="C688" s="20" t="s">
        <v>213</v>
      </c>
    </row>
    <row r="689" spans="1:3">
      <c r="A689" s="20">
        <v>1115290054</v>
      </c>
      <c r="B689" s="20" t="s">
        <v>116</v>
      </c>
      <c r="C689" s="20" t="s">
        <v>505</v>
      </c>
    </row>
    <row r="690" spans="1:3">
      <c r="A690" s="20">
        <v>1115271287</v>
      </c>
      <c r="B690" s="20" t="s">
        <v>116</v>
      </c>
      <c r="C690" s="20" t="s">
        <v>216</v>
      </c>
    </row>
    <row r="691" spans="1:3">
      <c r="A691" s="20">
        <v>1115288998</v>
      </c>
      <c r="B691" s="20" t="s">
        <v>116</v>
      </c>
      <c r="C691" s="20" t="s">
        <v>506</v>
      </c>
    </row>
    <row r="692" spans="1:3">
      <c r="A692" s="20">
        <v>1115299871</v>
      </c>
      <c r="B692" s="20" t="s">
        <v>116</v>
      </c>
      <c r="C692" s="20" t="s">
        <v>219</v>
      </c>
    </row>
    <row r="693" spans="1:3">
      <c r="A693" s="20">
        <v>1115288997</v>
      </c>
      <c r="B693" s="20" t="s">
        <v>116</v>
      </c>
      <c r="C693" s="20" t="s">
        <v>507</v>
      </c>
    </row>
    <row r="694" spans="1:3">
      <c r="A694" s="20">
        <v>1115291947</v>
      </c>
      <c r="B694" s="20" t="s">
        <v>116</v>
      </c>
      <c r="C694" s="20" t="s">
        <v>222</v>
      </c>
    </row>
    <row r="695" spans="1:3">
      <c r="A695" s="20">
        <v>1115288996</v>
      </c>
      <c r="B695" s="20" t="s">
        <v>116</v>
      </c>
      <c r="C695" s="20" t="s">
        <v>508</v>
      </c>
    </row>
    <row r="696" spans="1:3">
      <c r="A696" s="20">
        <v>1115288995</v>
      </c>
      <c r="B696" s="20" t="s">
        <v>116</v>
      </c>
      <c r="C696" s="20" t="s">
        <v>509</v>
      </c>
    </row>
    <row r="697" spans="1:3">
      <c r="A697" s="20">
        <v>1115291949</v>
      </c>
      <c r="B697" s="20" t="s">
        <v>116</v>
      </c>
      <c r="C697" s="20" t="s">
        <v>225</v>
      </c>
    </row>
    <row r="698" spans="1:3">
      <c r="A698" s="20">
        <v>1115291950</v>
      </c>
      <c r="B698" s="20" t="s">
        <v>116</v>
      </c>
      <c r="C698" s="20" t="s">
        <v>228</v>
      </c>
    </row>
    <row r="699" spans="1:3">
      <c r="A699" s="20">
        <v>1115288992</v>
      </c>
      <c r="B699" s="20" t="s">
        <v>116</v>
      </c>
      <c r="C699" s="20" t="s">
        <v>510</v>
      </c>
    </row>
    <row r="700" spans="1:3">
      <c r="A700" s="20">
        <v>1115291948</v>
      </c>
      <c r="B700" s="20" t="s">
        <v>116</v>
      </c>
      <c r="C700" s="20" t="s">
        <v>230</v>
      </c>
    </row>
    <row r="701" spans="1:3">
      <c r="A701" s="20">
        <v>1115286244</v>
      </c>
      <c r="B701" s="20" t="s">
        <v>116</v>
      </c>
      <c r="C701" s="20" t="s">
        <v>511</v>
      </c>
    </row>
    <row r="702" spans="1:3">
      <c r="A702" s="20">
        <v>1115324149</v>
      </c>
      <c r="B702" s="20" t="s">
        <v>116</v>
      </c>
      <c r="C702" s="20" t="s">
        <v>233</v>
      </c>
    </row>
    <row r="703" spans="1:3">
      <c r="A703" s="20">
        <v>1115325878</v>
      </c>
      <c r="B703" s="20" t="s">
        <v>116</v>
      </c>
      <c r="C703" s="20" t="s">
        <v>512</v>
      </c>
    </row>
    <row r="704" spans="1:3">
      <c r="A704" s="20">
        <v>1115182378</v>
      </c>
      <c r="B704" s="20" t="s">
        <v>116</v>
      </c>
      <c r="C704" s="20" t="s">
        <v>236</v>
      </c>
    </row>
    <row r="705" spans="1:3">
      <c r="A705" s="20">
        <v>1115288993</v>
      </c>
      <c r="B705" s="20" t="s">
        <v>116</v>
      </c>
      <c r="C705" s="20" t="s">
        <v>513</v>
      </c>
    </row>
    <row r="706" spans="1:3">
      <c r="A706" s="20">
        <v>1115272289</v>
      </c>
      <c r="B706" s="20" t="s">
        <v>116</v>
      </c>
      <c r="C706" s="20" t="s">
        <v>240</v>
      </c>
    </row>
    <row r="707" spans="1:3">
      <c r="A707" s="20">
        <v>1115292240</v>
      </c>
      <c r="B707" s="20" t="s">
        <v>117</v>
      </c>
      <c r="C707" s="20" t="s">
        <v>514</v>
      </c>
    </row>
    <row r="708" spans="1:3">
      <c r="A708" s="20">
        <v>1115272290</v>
      </c>
      <c r="B708" s="20" t="s">
        <v>116</v>
      </c>
      <c r="C708" s="20" t="s">
        <v>244</v>
      </c>
    </row>
    <row r="709" spans="1:3">
      <c r="A709" s="20">
        <v>1115292239</v>
      </c>
      <c r="B709" s="20" t="s">
        <v>117</v>
      </c>
      <c r="C709" s="20" t="s">
        <v>515</v>
      </c>
    </row>
    <row r="710" spans="1:3">
      <c r="A710" s="20">
        <v>1115286209</v>
      </c>
      <c r="B710" s="20" t="s">
        <v>116</v>
      </c>
      <c r="C710" s="20" t="s">
        <v>247</v>
      </c>
    </row>
    <row r="711" spans="1:3">
      <c r="A711" s="20">
        <v>1115333538</v>
      </c>
      <c r="B711" s="20" t="s">
        <v>116</v>
      </c>
      <c r="C711" s="20" t="s">
        <v>516</v>
      </c>
    </row>
    <row r="712" spans="1:3">
      <c r="A712" s="20">
        <v>1115289614</v>
      </c>
      <c r="B712" s="20" t="s">
        <v>116</v>
      </c>
      <c r="C712" s="20" t="s">
        <v>250</v>
      </c>
    </row>
    <row r="713" spans="1:3">
      <c r="A713" s="20">
        <v>1115345584</v>
      </c>
      <c r="B713" s="20" t="s">
        <v>116</v>
      </c>
      <c r="C713" s="20" t="s">
        <v>517</v>
      </c>
    </row>
    <row r="714" spans="1:3">
      <c r="A714" s="20">
        <v>1115343114</v>
      </c>
      <c r="B714" s="20" t="s">
        <v>116</v>
      </c>
      <c r="C714" s="20" t="s">
        <v>253</v>
      </c>
    </row>
    <row r="715" spans="1:3">
      <c r="A715" s="20">
        <v>1115296216</v>
      </c>
      <c r="B715" s="20" t="s">
        <v>116</v>
      </c>
      <c r="C715" s="20" t="s">
        <v>518</v>
      </c>
    </row>
    <row r="716" spans="1:3">
      <c r="A716" s="20">
        <v>1115286248</v>
      </c>
      <c r="B716" s="20" t="s">
        <v>116</v>
      </c>
      <c r="C716" s="20" t="s">
        <v>256</v>
      </c>
    </row>
    <row r="717" spans="1:3">
      <c r="A717" s="20">
        <v>1115296037</v>
      </c>
      <c r="B717" s="20" t="s">
        <v>116</v>
      </c>
      <c r="C717" s="20" t="s">
        <v>519</v>
      </c>
    </row>
    <row r="718" spans="1:3">
      <c r="A718" s="20">
        <v>1115296043</v>
      </c>
      <c r="B718" s="20" t="s">
        <v>116</v>
      </c>
      <c r="C718" s="20" t="s">
        <v>520</v>
      </c>
    </row>
    <row r="719" spans="1:3">
      <c r="A719" s="20">
        <v>1115296039</v>
      </c>
      <c r="B719" s="20" t="s">
        <v>116</v>
      </c>
      <c r="C719" s="20" t="s">
        <v>521</v>
      </c>
    </row>
    <row r="720" spans="1:3">
      <c r="A720" s="20">
        <v>1115343758</v>
      </c>
      <c r="B720" s="20" t="s">
        <v>116</v>
      </c>
      <c r="C720" s="20" t="s">
        <v>522</v>
      </c>
    </row>
    <row r="721" spans="1:3">
      <c r="A721" s="20">
        <v>1115345603</v>
      </c>
      <c r="B721" s="20" t="s">
        <v>116</v>
      </c>
      <c r="C721" s="20" t="s">
        <v>523</v>
      </c>
    </row>
    <row r="722" spans="1:3">
      <c r="A722" s="20">
        <v>1115345153</v>
      </c>
      <c r="B722" s="20" t="s">
        <v>116</v>
      </c>
      <c r="C722" s="20" t="s">
        <v>524</v>
      </c>
    </row>
    <row r="723" spans="1:3">
      <c r="A723" s="20">
        <v>1115348148</v>
      </c>
      <c r="B723" s="20" t="s">
        <v>116</v>
      </c>
      <c r="C723" s="20" t="s">
        <v>525</v>
      </c>
    </row>
    <row r="724" spans="1:3">
      <c r="A724" s="20">
        <v>1115347471</v>
      </c>
      <c r="B724" s="20" t="s">
        <v>116</v>
      </c>
      <c r="C724" s="20" t="s">
        <v>526</v>
      </c>
    </row>
    <row r="725" spans="1:3">
      <c r="A725" s="20">
        <v>1115342773</v>
      </c>
      <c r="B725" s="20" t="s">
        <v>116</v>
      </c>
      <c r="C725" s="20" t="s">
        <v>527</v>
      </c>
    </row>
    <row r="726" spans="1:3">
      <c r="A726" s="20">
        <v>1115296021</v>
      </c>
      <c r="B726" s="20" t="s">
        <v>116</v>
      </c>
      <c r="C726" s="20" t="s">
        <v>528</v>
      </c>
    </row>
    <row r="727" spans="1:3">
      <c r="A727" s="20">
        <v>1115272291</v>
      </c>
      <c r="B727" s="20" t="s">
        <v>116</v>
      </c>
      <c r="C727" s="20" t="s">
        <v>529</v>
      </c>
    </row>
    <row r="728" spans="1:3">
      <c r="A728" s="20">
        <v>1115326539</v>
      </c>
      <c r="B728" s="20" t="s">
        <v>117</v>
      </c>
      <c r="C728" s="20" t="s">
        <v>530</v>
      </c>
    </row>
    <row r="729" spans="1:3">
      <c r="A729" s="20">
        <v>1115341407</v>
      </c>
      <c r="B729" s="20" t="s">
        <v>116</v>
      </c>
      <c r="C729" s="20" t="s">
        <v>531</v>
      </c>
    </row>
    <row r="730" spans="1:3">
      <c r="A730" s="20">
        <v>1115294784</v>
      </c>
      <c r="B730" s="20" t="s">
        <v>116</v>
      </c>
      <c r="C730" s="20" t="s">
        <v>532</v>
      </c>
    </row>
    <row r="731" spans="1:3">
      <c r="A731" s="20">
        <v>1115272273</v>
      </c>
      <c r="B731" s="20" t="s">
        <v>116</v>
      </c>
      <c r="C731" s="20" t="s">
        <v>533</v>
      </c>
    </row>
    <row r="732" spans="1:3">
      <c r="A732" s="20">
        <v>1115306207</v>
      </c>
      <c r="B732" s="20" t="s">
        <v>116</v>
      </c>
      <c r="C732" s="20" t="s">
        <v>534</v>
      </c>
    </row>
    <row r="733" spans="1:3">
      <c r="A733" s="20">
        <v>1115306209</v>
      </c>
      <c r="B733" s="20" t="s">
        <v>116</v>
      </c>
      <c r="C733" s="20" t="s">
        <v>535</v>
      </c>
    </row>
    <row r="734" spans="1:3">
      <c r="A734" s="20">
        <v>1115306210</v>
      </c>
      <c r="B734" s="20" t="s">
        <v>116</v>
      </c>
      <c r="C734" s="20" t="s">
        <v>536</v>
      </c>
    </row>
    <row r="735" spans="1:3">
      <c r="A735" s="20">
        <v>1115306211</v>
      </c>
      <c r="B735" s="20" t="s">
        <v>116</v>
      </c>
      <c r="C735" s="20" t="s">
        <v>537</v>
      </c>
    </row>
    <row r="736" spans="1:3">
      <c r="A736" s="20">
        <v>1115294094</v>
      </c>
      <c r="B736" s="20" t="s">
        <v>116</v>
      </c>
      <c r="C736" s="20" t="s">
        <v>538</v>
      </c>
    </row>
    <row r="737" spans="1:3">
      <c r="A737" s="20">
        <v>1115294089</v>
      </c>
      <c r="B737" s="20" t="s">
        <v>116</v>
      </c>
      <c r="C737" s="20" t="s">
        <v>539</v>
      </c>
    </row>
    <row r="738" spans="1:3">
      <c r="A738" s="20">
        <v>1115294088</v>
      </c>
      <c r="B738" s="20" t="s">
        <v>116</v>
      </c>
      <c r="C738" s="20" t="s">
        <v>540</v>
      </c>
    </row>
    <row r="739" spans="1:3">
      <c r="A739" s="20">
        <v>1115296032</v>
      </c>
      <c r="B739" s="20" t="s">
        <v>116</v>
      </c>
      <c r="C739" s="20" t="s">
        <v>541</v>
      </c>
    </row>
    <row r="740" spans="1:3">
      <c r="A740" s="20">
        <v>1115290763</v>
      </c>
      <c r="B740" s="20" t="s">
        <v>116</v>
      </c>
      <c r="C740" s="20" t="s">
        <v>542</v>
      </c>
    </row>
    <row r="741" spans="1:3">
      <c r="A741" s="20">
        <v>1115290764</v>
      </c>
      <c r="B741" s="20" t="s">
        <v>116</v>
      </c>
      <c r="C741" s="20" t="s">
        <v>543</v>
      </c>
    </row>
    <row r="742" spans="1:3">
      <c r="A742" s="20">
        <v>1115320200</v>
      </c>
      <c r="B742" s="20" t="s">
        <v>117</v>
      </c>
      <c r="C742" s="20" t="s">
        <v>544</v>
      </c>
    </row>
    <row r="743" spans="1:3">
      <c r="A743" s="20">
        <v>1115272267</v>
      </c>
      <c r="B743" s="20" t="s">
        <v>116</v>
      </c>
      <c r="C743" s="20" t="s">
        <v>545</v>
      </c>
    </row>
    <row r="744" spans="1:3">
      <c r="A744" s="20">
        <v>1115366609</v>
      </c>
      <c r="B744" s="20" t="s">
        <v>116</v>
      </c>
      <c r="C744" s="20" t="s">
        <v>546</v>
      </c>
    </row>
    <row r="745" spans="1:3">
      <c r="A745" s="20">
        <v>1115272271</v>
      </c>
      <c r="B745" s="20" t="s">
        <v>116</v>
      </c>
      <c r="C745" s="20" t="s">
        <v>547</v>
      </c>
    </row>
    <row r="746" spans="1:3">
      <c r="A746" s="20">
        <v>1115291539</v>
      </c>
      <c r="B746" s="20" t="s">
        <v>116</v>
      </c>
      <c r="C746" s="20" t="s">
        <v>548</v>
      </c>
    </row>
    <row r="747" spans="1:3">
      <c r="A747" s="20">
        <v>1115341406</v>
      </c>
      <c r="B747" s="20" t="s">
        <v>116</v>
      </c>
      <c r="C747" s="20" t="s">
        <v>549</v>
      </c>
    </row>
    <row r="748" spans="1:3">
      <c r="A748" s="20">
        <v>1115322229</v>
      </c>
      <c r="B748" s="20" t="s">
        <v>116</v>
      </c>
      <c r="C748" s="20" t="s">
        <v>550</v>
      </c>
    </row>
    <row r="749" spans="1:3">
      <c r="A749" s="20">
        <v>1115325426</v>
      </c>
      <c r="B749" s="20" t="s">
        <v>116</v>
      </c>
      <c r="C749" s="20" t="s">
        <v>551</v>
      </c>
    </row>
    <row r="750" spans="1:3">
      <c r="A750" s="20">
        <v>1115309645</v>
      </c>
      <c r="B750" s="20" t="s">
        <v>116</v>
      </c>
      <c r="C750" s="20" t="s">
        <v>552</v>
      </c>
    </row>
    <row r="751" spans="1:3">
      <c r="A751" s="20">
        <v>1115366440</v>
      </c>
      <c r="B751" s="20" t="s">
        <v>116</v>
      </c>
      <c r="C751" s="20" t="s">
        <v>553</v>
      </c>
    </row>
    <row r="752" spans="1:3">
      <c r="A752" s="20">
        <v>1115295450</v>
      </c>
      <c r="B752" s="20" t="s">
        <v>116</v>
      </c>
      <c r="C752" s="20" t="s">
        <v>554</v>
      </c>
    </row>
    <row r="753" spans="1:3">
      <c r="A753" s="20">
        <v>1115294806</v>
      </c>
      <c r="B753" s="20" t="s">
        <v>116</v>
      </c>
      <c r="C753" s="20" t="s">
        <v>555</v>
      </c>
    </row>
    <row r="754" spans="1:3">
      <c r="A754" s="20">
        <v>1115285210</v>
      </c>
      <c r="B754" s="20" t="s">
        <v>116</v>
      </c>
      <c r="C754" s="20" t="s">
        <v>556</v>
      </c>
    </row>
    <row r="755" spans="1:3">
      <c r="A755" s="20">
        <v>1115285202</v>
      </c>
      <c r="B755" s="20" t="s">
        <v>116</v>
      </c>
      <c r="C755" s="20" t="s">
        <v>557</v>
      </c>
    </row>
    <row r="756" spans="1:3">
      <c r="A756" s="20">
        <v>1115285283</v>
      </c>
      <c r="B756" s="20" t="s">
        <v>116</v>
      </c>
      <c r="C756" s="20" t="s">
        <v>558</v>
      </c>
    </row>
    <row r="757" spans="1:3">
      <c r="A757" s="20">
        <v>1115285282</v>
      </c>
      <c r="B757" s="20" t="s">
        <v>116</v>
      </c>
      <c r="C757" s="20" t="s">
        <v>559</v>
      </c>
    </row>
    <row r="758" spans="1:3">
      <c r="A758" s="20">
        <v>1115295464</v>
      </c>
      <c r="B758" s="20" t="s">
        <v>116</v>
      </c>
      <c r="C758" s="20" t="s">
        <v>560</v>
      </c>
    </row>
    <row r="759" spans="1:3">
      <c r="A759" s="20">
        <v>1115353284</v>
      </c>
      <c r="B759" s="20" t="s">
        <v>116</v>
      </c>
      <c r="C759" s="20" t="s">
        <v>561</v>
      </c>
    </row>
    <row r="760" spans="1:3">
      <c r="A760" s="20">
        <v>1115358508</v>
      </c>
      <c r="B760" s="20" t="s">
        <v>116</v>
      </c>
      <c r="C760" s="20" t="s">
        <v>562</v>
      </c>
    </row>
    <row r="761" spans="1:3">
      <c r="A761" s="20">
        <v>1115359858</v>
      </c>
      <c r="B761" s="20" t="s">
        <v>116</v>
      </c>
      <c r="C761" s="20" t="s">
        <v>563</v>
      </c>
    </row>
    <row r="762" spans="1:3">
      <c r="A762" s="20">
        <v>1115358955</v>
      </c>
      <c r="B762" s="20" t="s">
        <v>116</v>
      </c>
      <c r="C762" s="20" t="s">
        <v>564</v>
      </c>
    </row>
    <row r="763" spans="1:3">
      <c r="A763" s="20">
        <v>1115294368</v>
      </c>
      <c r="B763" s="20" t="s">
        <v>116</v>
      </c>
      <c r="C763" s="20" t="s">
        <v>565</v>
      </c>
    </row>
    <row r="764" spans="1:3">
      <c r="A764" s="20">
        <v>1115294369</v>
      </c>
      <c r="B764" s="20" t="s">
        <v>116</v>
      </c>
      <c r="C764" s="20" t="s">
        <v>566</v>
      </c>
    </row>
    <row r="765" spans="1:3">
      <c r="A765" s="20">
        <v>1115287533</v>
      </c>
      <c r="B765" s="20" t="s">
        <v>116</v>
      </c>
      <c r="C765" s="20" t="s">
        <v>567</v>
      </c>
    </row>
    <row r="766" spans="1:3">
      <c r="A766" s="20">
        <v>1115339906</v>
      </c>
      <c r="B766" s="20" t="s">
        <v>116</v>
      </c>
      <c r="C766" s="20" t="s">
        <v>568</v>
      </c>
    </row>
    <row r="767" spans="1:3">
      <c r="A767" s="20">
        <v>1115339908</v>
      </c>
      <c r="B767" s="20" t="s">
        <v>116</v>
      </c>
      <c r="C767" s="20" t="s">
        <v>569</v>
      </c>
    </row>
    <row r="768" spans="1:3">
      <c r="A768" s="20">
        <v>1115339910</v>
      </c>
      <c r="B768" s="20" t="s">
        <v>116</v>
      </c>
      <c r="C768" s="20" t="s">
        <v>570</v>
      </c>
    </row>
    <row r="769" spans="1:3">
      <c r="A769" s="20">
        <v>1115336416</v>
      </c>
      <c r="B769" s="20" t="s">
        <v>116</v>
      </c>
      <c r="C769" s="20" t="s">
        <v>571</v>
      </c>
    </row>
    <row r="770" spans="1:3">
      <c r="A770" s="20">
        <v>1115336417</v>
      </c>
      <c r="B770" s="20" t="s">
        <v>116</v>
      </c>
      <c r="C770" s="20" t="s">
        <v>572</v>
      </c>
    </row>
    <row r="771" spans="1:3">
      <c r="A771" s="20">
        <v>1115333892</v>
      </c>
      <c r="B771" s="20" t="s">
        <v>116</v>
      </c>
      <c r="C771" s="20" t="s">
        <v>573</v>
      </c>
    </row>
    <row r="772" spans="1:3">
      <c r="A772" s="20">
        <v>1115316058</v>
      </c>
      <c r="B772" s="20" t="s">
        <v>116</v>
      </c>
      <c r="C772" s="20" t="s">
        <v>574</v>
      </c>
    </row>
    <row r="773" spans="1:3">
      <c r="A773" s="20">
        <v>1115316060</v>
      </c>
      <c r="B773" s="20" t="s">
        <v>116</v>
      </c>
      <c r="C773" s="20" t="s">
        <v>575</v>
      </c>
    </row>
    <row r="774" spans="1:3">
      <c r="A774" s="20">
        <v>1115316059</v>
      </c>
      <c r="B774" s="20" t="s">
        <v>116</v>
      </c>
      <c r="C774" s="20" t="s">
        <v>576</v>
      </c>
    </row>
    <row r="775" spans="1:3">
      <c r="A775" s="20">
        <v>1115316053</v>
      </c>
      <c r="B775" s="20" t="s">
        <v>116</v>
      </c>
      <c r="C775" s="20" t="s">
        <v>577</v>
      </c>
    </row>
    <row r="776" spans="1:3">
      <c r="A776" s="20">
        <v>1115316057</v>
      </c>
      <c r="B776" s="20" t="s">
        <v>116</v>
      </c>
      <c r="C776" s="20" t="s">
        <v>578</v>
      </c>
    </row>
    <row r="777" spans="1:3">
      <c r="A777" s="20">
        <v>1115333882</v>
      </c>
      <c r="B777" s="20" t="s">
        <v>116</v>
      </c>
      <c r="C777" s="20" t="s">
        <v>579</v>
      </c>
    </row>
    <row r="778" spans="1:3">
      <c r="A778" s="20">
        <v>1115331049</v>
      </c>
      <c r="B778" s="20" t="s">
        <v>116</v>
      </c>
      <c r="C778" s="20" t="s">
        <v>580</v>
      </c>
    </row>
    <row r="779" spans="1:3">
      <c r="A779" s="20">
        <v>1115331050</v>
      </c>
      <c r="B779" s="20" t="s">
        <v>116</v>
      </c>
      <c r="C779" s="20" t="s">
        <v>581</v>
      </c>
    </row>
    <row r="780" spans="1:3">
      <c r="A780" s="20">
        <v>1115331051</v>
      </c>
      <c r="B780" s="20" t="s">
        <v>116</v>
      </c>
      <c r="C780" s="20" t="s">
        <v>582</v>
      </c>
    </row>
    <row r="781" spans="1:3">
      <c r="A781" s="20">
        <v>1115331052</v>
      </c>
      <c r="B781" s="20" t="s">
        <v>116</v>
      </c>
      <c r="C781" s="20" t="s">
        <v>583</v>
      </c>
    </row>
    <row r="782" spans="1:3">
      <c r="A782" s="20">
        <v>1115320166</v>
      </c>
      <c r="B782" s="20" t="s">
        <v>116</v>
      </c>
      <c r="C782" s="20" t="s">
        <v>584</v>
      </c>
    </row>
    <row r="783" spans="1:3">
      <c r="A783" s="20">
        <v>1115320167</v>
      </c>
      <c r="B783" s="20" t="s">
        <v>116</v>
      </c>
      <c r="C783" s="20" t="s">
        <v>585</v>
      </c>
    </row>
    <row r="784" spans="1:3">
      <c r="A784" s="20">
        <v>1115296041</v>
      </c>
      <c r="B784" s="20" t="s">
        <v>116</v>
      </c>
      <c r="C784" s="20" t="s">
        <v>586</v>
      </c>
    </row>
    <row r="785" spans="1:3">
      <c r="A785" s="20">
        <v>1115296042</v>
      </c>
      <c r="B785" s="20" t="s">
        <v>116</v>
      </c>
      <c r="C785" s="20" t="s">
        <v>587</v>
      </c>
    </row>
    <row r="786" spans="1:3">
      <c r="A786" s="20">
        <v>1115345273</v>
      </c>
      <c r="B786" s="20" t="s">
        <v>116</v>
      </c>
      <c r="C786" s="20" t="s">
        <v>588</v>
      </c>
    </row>
    <row r="787" spans="1:3">
      <c r="A787" s="20">
        <v>1115342629</v>
      </c>
      <c r="B787" s="20" t="s">
        <v>116</v>
      </c>
      <c r="C787" s="20" t="s">
        <v>589</v>
      </c>
    </row>
    <row r="788" spans="1:3">
      <c r="A788" s="20">
        <v>1115340910</v>
      </c>
      <c r="B788" s="20" t="s">
        <v>116</v>
      </c>
      <c r="C788" s="20" t="s">
        <v>590</v>
      </c>
    </row>
    <row r="789" spans="1:3">
      <c r="A789" s="20">
        <v>1115296014</v>
      </c>
      <c r="B789" s="20" t="s">
        <v>116</v>
      </c>
      <c r="C789" s="20" t="s">
        <v>591</v>
      </c>
    </row>
    <row r="790" spans="1:3">
      <c r="A790" s="20">
        <v>1115272270</v>
      </c>
      <c r="B790" s="20" t="s">
        <v>116</v>
      </c>
      <c r="C790" s="20" t="s">
        <v>592</v>
      </c>
    </row>
    <row r="791" spans="1:3">
      <c r="A791" s="20">
        <v>1115272268</v>
      </c>
      <c r="B791" s="20" t="s">
        <v>116</v>
      </c>
      <c r="C791" s="20" t="s">
        <v>593</v>
      </c>
    </row>
    <row r="792" spans="1:3">
      <c r="A792" s="20">
        <v>1115327030</v>
      </c>
      <c r="B792" s="20" t="s">
        <v>116</v>
      </c>
      <c r="C792" s="20" t="s">
        <v>594</v>
      </c>
    </row>
    <row r="793" spans="1:3">
      <c r="A793" s="20">
        <v>1115294318</v>
      </c>
      <c r="B793" s="20" t="s">
        <v>116</v>
      </c>
      <c r="C793" s="20" t="s">
        <v>595</v>
      </c>
    </row>
    <row r="794" spans="1:3">
      <c r="A794" s="20">
        <v>1115294327</v>
      </c>
      <c r="B794" s="20" t="s">
        <v>116</v>
      </c>
      <c r="C794" s="20" t="s">
        <v>596</v>
      </c>
    </row>
    <row r="795" spans="1:3">
      <c r="A795" s="20">
        <v>1115294320</v>
      </c>
      <c r="B795" s="20" t="s">
        <v>116</v>
      </c>
      <c r="C795" s="20" t="s">
        <v>597</v>
      </c>
    </row>
    <row r="796" spans="1:3">
      <c r="A796" s="20">
        <v>1115294322</v>
      </c>
      <c r="B796" s="20" t="s">
        <v>116</v>
      </c>
      <c r="C796" s="20" t="s">
        <v>598</v>
      </c>
    </row>
    <row r="797" spans="1:3">
      <c r="A797" s="20">
        <v>1115294325</v>
      </c>
      <c r="B797" s="20" t="s">
        <v>116</v>
      </c>
      <c r="C797" s="20" t="s">
        <v>599</v>
      </c>
    </row>
    <row r="798" spans="1:3">
      <c r="A798" s="20">
        <v>1115294211</v>
      </c>
      <c r="B798" s="20" t="s">
        <v>116</v>
      </c>
      <c r="C798" s="20" t="s">
        <v>600</v>
      </c>
    </row>
    <row r="799" spans="1:3">
      <c r="A799" s="20">
        <v>1115294312</v>
      </c>
      <c r="B799" s="20" t="s">
        <v>116</v>
      </c>
      <c r="C799" s="20" t="s">
        <v>140</v>
      </c>
    </row>
    <row r="800" spans="1:3">
      <c r="A800" s="20">
        <v>1115294316</v>
      </c>
      <c r="B800" s="20" t="s">
        <v>116</v>
      </c>
      <c r="C800" s="20" t="s">
        <v>143</v>
      </c>
    </row>
    <row r="801" spans="1:3">
      <c r="A801" s="20">
        <v>1115294321</v>
      </c>
      <c r="B801" s="20" t="s">
        <v>116</v>
      </c>
      <c r="C801" s="20" t="s">
        <v>147</v>
      </c>
    </row>
    <row r="802" spans="1:3">
      <c r="A802" s="20">
        <v>1115294317</v>
      </c>
      <c r="B802" s="20" t="s">
        <v>116</v>
      </c>
      <c r="C802" s="20" t="s">
        <v>150</v>
      </c>
    </row>
    <row r="803" spans="1:3">
      <c r="A803" s="20">
        <v>1115294319</v>
      </c>
      <c r="B803" s="20" t="s">
        <v>116</v>
      </c>
      <c r="C803" s="20" t="s">
        <v>153</v>
      </c>
    </row>
    <row r="804" spans="1:3">
      <c r="A804" s="20">
        <v>1115294313</v>
      </c>
      <c r="B804" s="20" t="s">
        <v>116</v>
      </c>
      <c r="C804" s="20" t="s">
        <v>157</v>
      </c>
    </row>
    <row r="805" spans="1:3">
      <c r="A805" s="20">
        <v>1115294323</v>
      </c>
      <c r="B805" s="20" t="s">
        <v>116</v>
      </c>
      <c r="C805" s="20" t="s">
        <v>160</v>
      </c>
    </row>
    <row r="806" spans="1:3">
      <c r="A806" s="20">
        <v>1115294314</v>
      </c>
      <c r="B806" s="20" t="s">
        <v>116</v>
      </c>
      <c r="C806" s="20" t="s">
        <v>164</v>
      </c>
    </row>
    <row r="807" spans="1:3">
      <c r="A807" s="20">
        <v>1115294326</v>
      </c>
      <c r="B807" s="20" t="s">
        <v>116</v>
      </c>
      <c r="C807" s="20" t="s">
        <v>167</v>
      </c>
    </row>
    <row r="808" spans="1:3">
      <c r="A808" s="20">
        <v>1115294324</v>
      </c>
      <c r="B808" s="20" t="s">
        <v>116</v>
      </c>
      <c r="C808" s="20" t="s">
        <v>170</v>
      </c>
    </row>
    <row r="809" spans="1:3">
      <c r="A809" s="20">
        <v>1115294315</v>
      </c>
      <c r="B809" s="20" t="s">
        <v>116</v>
      </c>
      <c r="C809" s="20" t="s">
        <v>175</v>
      </c>
    </row>
    <row r="810" spans="1:3">
      <c r="A810" s="20">
        <v>1115294328</v>
      </c>
      <c r="B810" s="20" t="s">
        <v>116</v>
      </c>
      <c r="C810" s="20" t="s">
        <v>177</v>
      </c>
    </row>
    <row r="811" spans="1:3">
      <c r="A811" s="20">
        <v>1115291835</v>
      </c>
      <c r="B811" s="20" t="s">
        <v>116</v>
      </c>
      <c r="C811" s="20" t="s">
        <v>180</v>
      </c>
    </row>
    <row r="812" spans="1:3">
      <c r="A812" s="20">
        <v>1115291836</v>
      </c>
      <c r="B812" s="20" t="s">
        <v>116</v>
      </c>
      <c r="C812" s="20" t="s">
        <v>183</v>
      </c>
    </row>
    <row r="813" spans="1:3">
      <c r="A813" s="20">
        <v>1115324151</v>
      </c>
      <c r="B813" s="20" t="s">
        <v>116</v>
      </c>
      <c r="C813" s="20" t="s">
        <v>186</v>
      </c>
    </row>
    <row r="814" spans="1:3">
      <c r="A814" s="20">
        <v>1115324147</v>
      </c>
      <c r="B814" s="20" t="s">
        <v>116</v>
      </c>
      <c r="C814" s="20" t="s">
        <v>189</v>
      </c>
    </row>
    <row r="815" spans="1:3">
      <c r="A815" s="20">
        <v>1115324148</v>
      </c>
      <c r="B815" s="20" t="s">
        <v>116</v>
      </c>
      <c r="C815" s="20" t="s">
        <v>192</v>
      </c>
    </row>
    <row r="816" spans="1:3">
      <c r="A816" s="20">
        <v>1115296046</v>
      </c>
      <c r="B816" s="20" t="s">
        <v>116</v>
      </c>
      <c r="C816" s="20" t="s">
        <v>195</v>
      </c>
    </row>
    <row r="817" spans="1:3">
      <c r="A817" s="20">
        <v>1115294787</v>
      </c>
      <c r="B817" s="20" t="s">
        <v>116</v>
      </c>
      <c r="C817" s="20" t="s">
        <v>198</v>
      </c>
    </row>
    <row r="818" spans="1:3">
      <c r="A818" s="20">
        <v>1115294785</v>
      </c>
      <c r="B818" s="20" t="s">
        <v>116</v>
      </c>
      <c r="C818" s="20" t="s">
        <v>201</v>
      </c>
    </row>
    <row r="819" spans="1:3">
      <c r="A819" s="20">
        <v>1115292998</v>
      </c>
      <c r="B819" s="20" t="s">
        <v>116</v>
      </c>
      <c r="C819" s="20" t="s">
        <v>203</v>
      </c>
    </row>
    <row r="820" spans="1:3">
      <c r="A820" s="20">
        <v>1115294960</v>
      </c>
      <c r="B820" s="20" t="s">
        <v>116</v>
      </c>
      <c r="C820" s="20" t="s">
        <v>206</v>
      </c>
    </row>
    <row r="821" spans="1:3">
      <c r="A821" s="20">
        <v>1115327029</v>
      </c>
      <c r="B821" s="20" t="s">
        <v>116</v>
      </c>
      <c r="C821" s="20" t="s">
        <v>211</v>
      </c>
    </row>
    <row r="822" spans="1:3">
      <c r="A822" s="20">
        <v>1115271286</v>
      </c>
      <c r="B822" s="20" t="s">
        <v>116</v>
      </c>
      <c r="C822" s="20" t="s">
        <v>213</v>
      </c>
    </row>
    <row r="823" spans="1:3">
      <c r="A823" s="20">
        <v>1115271287</v>
      </c>
      <c r="B823" s="20" t="s">
        <v>116</v>
      </c>
      <c r="C823" s="20" t="s">
        <v>216</v>
      </c>
    </row>
    <row r="824" spans="1:3">
      <c r="A824" s="20">
        <v>1115299871</v>
      </c>
      <c r="B824" s="20" t="s">
        <v>116</v>
      </c>
      <c r="C824" s="20" t="s">
        <v>219</v>
      </c>
    </row>
    <row r="825" spans="1:3">
      <c r="A825" s="20">
        <v>1115291947</v>
      </c>
      <c r="B825" s="20" t="s">
        <v>116</v>
      </c>
      <c r="C825" s="20" t="s">
        <v>222</v>
      </c>
    </row>
    <row r="826" spans="1:3">
      <c r="A826" s="20">
        <v>1115291949</v>
      </c>
      <c r="B826" s="20" t="s">
        <v>116</v>
      </c>
      <c r="C826" s="20" t="s">
        <v>225</v>
      </c>
    </row>
    <row r="827" spans="1:3">
      <c r="A827" s="20">
        <v>1115291950</v>
      </c>
      <c r="B827" s="20" t="s">
        <v>116</v>
      </c>
      <c r="C827" s="20" t="s">
        <v>228</v>
      </c>
    </row>
    <row r="828" spans="1:3">
      <c r="A828" s="20">
        <v>1115291948</v>
      </c>
      <c r="B828" s="20" t="s">
        <v>116</v>
      </c>
      <c r="C828" s="20" t="s">
        <v>230</v>
      </c>
    </row>
    <row r="829" spans="1:3">
      <c r="A829" s="20">
        <v>1115324149</v>
      </c>
      <c r="B829" s="20" t="s">
        <v>116</v>
      </c>
      <c r="C829" s="20" t="s">
        <v>233</v>
      </c>
    </row>
    <row r="830" spans="1:3">
      <c r="A830" s="20">
        <v>1115182378</v>
      </c>
      <c r="B830" s="20" t="s">
        <v>116</v>
      </c>
      <c r="C830" s="20" t="s">
        <v>236</v>
      </c>
    </row>
    <row r="831" spans="1:3">
      <c r="A831" s="20">
        <v>1115272289</v>
      </c>
      <c r="B831" s="20" t="s">
        <v>116</v>
      </c>
      <c r="C831" s="20" t="s">
        <v>240</v>
      </c>
    </row>
    <row r="832" spans="1:3">
      <c r="A832" s="20">
        <v>1115272290</v>
      </c>
      <c r="B832" s="20" t="s">
        <v>116</v>
      </c>
      <c r="C832" s="20" t="s">
        <v>244</v>
      </c>
    </row>
    <row r="833" spans="1:3">
      <c r="A833" s="20">
        <v>1115286209</v>
      </c>
      <c r="B833" s="20" t="s">
        <v>116</v>
      </c>
      <c r="C833" s="20" t="s">
        <v>247</v>
      </c>
    </row>
    <row r="834" spans="1:3">
      <c r="A834" s="20">
        <v>1115289614</v>
      </c>
      <c r="B834" s="20" t="s">
        <v>116</v>
      </c>
      <c r="C834" s="20" t="s">
        <v>250</v>
      </c>
    </row>
    <row r="835" spans="1:3">
      <c r="A835" s="20">
        <v>1115343114</v>
      </c>
      <c r="B835" s="20" t="s">
        <v>116</v>
      </c>
      <c r="C835" s="20" t="s">
        <v>253</v>
      </c>
    </row>
    <row r="836" spans="1:3">
      <c r="A836" s="20">
        <v>1115286248</v>
      </c>
      <c r="B836" s="20" t="s">
        <v>116</v>
      </c>
      <c r="C836" s="20" t="s">
        <v>256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1"/>
  <sheetViews>
    <sheetView workbookViewId="0">
      <selection activeCell="A9" sqref="A9"/>
    </sheetView>
  </sheetViews>
  <sheetFormatPr defaultRowHeight="15"/>
  <cols>
    <col min="1" max="1" width="18.5703125" bestFit="1" customWidth="1"/>
    <col min="2" max="2" width="13.140625" customWidth="1"/>
    <col min="3" max="3" width="11.7109375" customWidth="1"/>
    <col min="4" max="4" width="60.5703125" bestFit="1" customWidth="1"/>
  </cols>
  <sheetData>
    <row r="1" spans="1:4">
      <c r="A1" s="1" t="s">
        <v>20</v>
      </c>
      <c r="B1" s="2" t="s">
        <v>21</v>
      </c>
      <c r="C1" s="2" t="s">
        <v>22</v>
      </c>
      <c r="D1" s="2" t="s">
        <v>23</v>
      </c>
    </row>
    <row r="2" spans="1:4">
      <c r="A2" s="3" t="s">
        <v>89</v>
      </c>
      <c r="B2" s="4" t="s">
        <v>24</v>
      </c>
      <c r="C2" s="4" t="s">
        <v>25</v>
      </c>
      <c r="D2" s="4" t="s">
        <v>26</v>
      </c>
    </row>
    <row r="3" spans="1:4">
      <c r="A3" s="4"/>
      <c r="B3" s="3" t="s">
        <v>84</v>
      </c>
      <c r="C3" s="4" t="s">
        <v>85</v>
      </c>
      <c r="D3" s="4" t="s">
        <v>29</v>
      </c>
    </row>
    <row r="4" spans="1:4">
      <c r="A4" s="3" t="s">
        <v>92</v>
      </c>
      <c r="B4" s="3" t="s">
        <v>91</v>
      </c>
      <c r="C4" s="3" t="s">
        <v>93</v>
      </c>
      <c r="D4" s="4" t="s">
        <v>31</v>
      </c>
    </row>
    <row r="5" spans="1:4">
      <c r="A5" s="3" t="s">
        <v>105</v>
      </c>
      <c r="B5" s="3" t="s">
        <v>33</v>
      </c>
      <c r="C5" s="4" t="s">
        <v>34</v>
      </c>
      <c r="D5" s="4" t="s">
        <v>35</v>
      </c>
    </row>
    <row r="6" spans="1:4">
      <c r="A6" s="4"/>
      <c r="B6" s="3" t="s">
        <v>36</v>
      </c>
      <c r="C6" s="4" t="s">
        <v>94</v>
      </c>
      <c r="D6" s="4" t="s">
        <v>37</v>
      </c>
    </row>
    <row r="7" spans="1:4" ht="75">
      <c r="A7" s="4"/>
      <c r="B7" s="19" t="s">
        <v>104</v>
      </c>
      <c r="C7" s="4" t="s">
        <v>78</v>
      </c>
      <c r="D7" s="4" t="s">
        <v>38</v>
      </c>
    </row>
    <row r="8" spans="1:4">
      <c r="A8" s="4"/>
      <c r="B8" s="3" t="s">
        <v>100</v>
      </c>
      <c r="C8" s="4" t="s">
        <v>88</v>
      </c>
      <c r="D8" s="4" t="s">
        <v>40</v>
      </c>
    </row>
    <row r="9" spans="1:4">
      <c r="A9" s="3" t="s">
        <v>107</v>
      </c>
      <c r="B9" s="3" t="s">
        <v>42</v>
      </c>
      <c r="C9" s="4" t="s">
        <v>43</v>
      </c>
      <c r="D9" s="4" t="s">
        <v>44</v>
      </c>
    </row>
    <row r="10" spans="1:4">
      <c r="A10" s="3"/>
      <c r="B10" s="3" t="s">
        <v>66</v>
      </c>
      <c r="C10" s="4" t="s">
        <v>25</v>
      </c>
      <c r="D10" s="4"/>
    </row>
    <row r="11" spans="1:4">
      <c r="A11" s="3"/>
      <c r="B11" s="3" t="s">
        <v>67</v>
      </c>
      <c r="C11" s="4" t="s">
        <v>43</v>
      </c>
      <c r="D11" s="4"/>
    </row>
    <row r="12" spans="1:4">
      <c r="A12" s="4"/>
      <c r="B12" s="4" t="s">
        <v>45</v>
      </c>
      <c r="C12" s="4" t="s">
        <v>43</v>
      </c>
      <c r="D12" s="4" t="s">
        <v>46</v>
      </c>
    </row>
    <row r="13" spans="1:4">
      <c r="A13" s="4"/>
      <c r="B13" s="3" t="s">
        <v>87</v>
      </c>
      <c r="C13" s="4" t="s">
        <v>25</v>
      </c>
      <c r="D13" s="4" t="s">
        <v>48</v>
      </c>
    </row>
    <row r="14" spans="1:4">
      <c r="A14" s="4"/>
      <c r="B14" s="3" t="s">
        <v>49</v>
      </c>
      <c r="C14" s="3" t="s">
        <v>28</v>
      </c>
      <c r="D14" s="4" t="s">
        <v>50</v>
      </c>
    </row>
    <row r="15" spans="1:4">
      <c r="A15" s="3" t="s">
        <v>106</v>
      </c>
      <c r="B15" s="3" t="s">
        <v>96</v>
      </c>
      <c r="C15" s="4" t="s">
        <v>25</v>
      </c>
      <c r="D15" s="4" t="s">
        <v>52</v>
      </c>
    </row>
    <row r="16" spans="1:4">
      <c r="A16" s="4"/>
      <c r="B16" s="4" t="s">
        <v>97</v>
      </c>
      <c r="C16" s="4" t="s">
        <v>79</v>
      </c>
      <c r="D16" s="4" t="s">
        <v>53</v>
      </c>
    </row>
    <row r="17" spans="1:4">
      <c r="A17" s="4"/>
      <c r="B17" s="3" t="s">
        <v>42</v>
      </c>
      <c r="C17" s="4" t="s">
        <v>43</v>
      </c>
      <c r="D17" s="4" t="s">
        <v>54</v>
      </c>
    </row>
    <row r="18" spans="1:4">
      <c r="A18" s="4"/>
      <c r="B18" s="3" t="s">
        <v>55</v>
      </c>
      <c r="C18" s="4" t="s">
        <v>25</v>
      </c>
      <c r="D18" s="3" t="s">
        <v>56</v>
      </c>
    </row>
    <row r="19" spans="1:4">
      <c r="A19" s="3" t="s">
        <v>103</v>
      </c>
      <c r="B19" s="5" t="s">
        <v>101</v>
      </c>
      <c r="C19" s="5" t="s">
        <v>102</v>
      </c>
      <c r="D19" s="5" t="s">
        <v>90</v>
      </c>
    </row>
    <row r="20" spans="1:4">
      <c r="A20" s="3"/>
      <c r="B20" s="5" t="s">
        <v>58</v>
      </c>
      <c r="C20" s="5" t="s">
        <v>59</v>
      </c>
      <c r="D20" s="5" t="s">
        <v>60</v>
      </c>
    </row>
    <row r="21" spans="1:4">
      <c r="A21" s="3"/>
      <c r="B21" s="5" t="s">
        <v>98</v>
      </c>
      <c r="C21" s="5" t="s">
        <v>99</v>
      </c>
      <c r="D21" s="5" t="s">
        <v>62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F_TAT_chart-2015-week 01</vt:lpstr>
      <vt:lpstr>P_TAT_chart-2015-week 01</vt:lpstr>
      <vt:lpstr>Sheet1</vt:lpstr>
      <vt:lpstr>Sheet2</vt:lpstr>
      <vt:lpstr>summary-week 01-2015</vt:lpstr>
      <vt:lpstr>Sheet3</vt:lpstr>
      <vt:lpstr>Rule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2015-06-01T05:57:56Z</dcterms:modified>
</cp:coreProperties>
</file>